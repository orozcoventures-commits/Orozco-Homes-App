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ishardhomes-my.sharepoint.com/personal/rorozco_bishardhomes_com/Documents/Desktop/"/>
    </mc:Choice>
  </mc:AlternateContent>
  <xr:revisionPtr revIDLastSave="0" documentId="8_{09514173-621D-4081-9A4C-7C46ED6C9917}" xr6:coauthVersionLast="47" xr6:coauthVersionMax="47" xr10:uidLastSave="{00000000-0000-0000-0000-000000000000}"/>
  <bookViews>
    <workbookView xWindow="38290" yWindow="-110" windowWidth="38620" windowHeight="21100" xr2:uid="{00000000-000D-0000-FFFF-FFFF00000000}"/>
  </bookViews>
  <sheets>
    <sheet name="Master Project Estimator" sheetId="1" r:id="rId1"/>
    <sheet name="Draw Schedule &amp; Milest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c r="E41" i="1"/>
  <c r="E39" i="1"/>
  <c r="E38" i="1"/>
  <c r="E37" i="1"/>
  <c r="E36" i="1"/>
  <c r="E35" i="1"/>
  <c r="E33" i="1"/>
  <c r="E32" i="1"/>
  <c r="E31" i="1"/>
  <c r="E30" i="1"/>
  <c r="E28" i="1"/>
  <c r="E27" i="1"/>
  <c r="E26" i="1"/>
  <c r="E25" i="1"/>
  <c r="E24" i="1"/>
  <c r="E22" i="1"/>
  <c r="E21" i="1"/>
  <c r="E20" i="1"/>
  <c r="E19" i="1"/>
  <c r="E18" i="1"/>
  <c r="E17" i="1"/>
  <c r="E15" i="1"/>
  <c r="E14" i="1"/>
  <c r="E13" i="1"/>
  <c r="E12" i="1"/>
  <c r="E10" i="1"/>
  <c r="E9" i="1"/>
  <c r="E8" i="1"/>
  <c r="E7" i="1"/>
  <c r="F2" i="1"/>
  <c r="E44" i="1" l="1"/>
  <c r="E43" i="1"/>
  <c r="E42" i="1"/>
  <c r="D4" i="2" l="1"/>
  <c r="D7" i="2"/>
  <c r="D6" i="2"/>
  <c r="D5" i="2"/>
  <c r="D8" i="2" l="1"/>
</calcChain>
</file>

<file path=xl/sharedStrings.xml><?xml version="1.0" encoding="utf-8"?>
<sst xmlns="http://schemas.openxmlformats.org/spreadsheetml/2006/main" count="152" uniqueCount="120">
  <si>
    <t>UNIVERSAL RESIDENTIAL REMODEL MASTER ESTIMATOR</t>
  </si>
  <si>
    <t>Company Name:</t>
  </si>
  <si>
    <t>[Your Company here]</t>
  </si>
  <si>
    <t>Estimate Date:</t>
  </si>
  <si>
    <t>Client Name:</t>
  </si>
  <si>
    <t>[Client Name here]</t>
  </si>
  <si>
    <t>Project Location:</t>
  </si>
  <si>
    <t>[City, State]</t>
  </si>
  <si>
    <t>Phase / Item Description</t>
  </si>
  <si>
    <t>Unit Type</t>
  </si>
  <si>
    <t>Quantity</t>
  </si>
  <si>
    <t>Unit Rate ($)</t>
  </si>
  <si>
    <t>Estimated Cost ($)</t>
  </si>
  <si>
    <t>Baseline Market Range ($)</t>
  </si>
  <si>
    <t>Premium Market Range ($)</t>
  </si>
  <si>
    <t>PHASE 1: PRE-CONSTRUCTION &amp; ADMINISTRATIVE</t>
  </si>
  <si>
    <t>Initial Comprehensive Field Consultation &amp; Evaluation</t>
  </si>
  <si>
    <t>Flat</t>
  </si>
  <si>
    <t>150 - 350</t>
  </si>
  <si>
    <t>400 - 750</t>
  </si>
  <si>
    <t>Architectural Plan Drafting &amp; 3D Modeling/Design</t>
  </si>
  <si>
    <t>Sq. Ft.</t>
  </si>
  <si>
    <t>3.00 - 6.00</t>
  </si>
  <si>
    <t>7.00 - 12.00</t>
  </si>
  <si>
    <t>Municipal Building &amp; Trade Permit Filing Fees</t>
  </si>
  <si>
    <t>350 - 700</t>
  </si>
  <si>
    <t>800 - 1500</t>
  </si>
  <si>
    <t>HOA Architectural Review Application Packets</t>
  </si>
  <si>
    <t>100 - 250</t>
  </si>
  <si>
    <t>300 - 600</t>
  </si>
  <si>
    <t>PHASE 2: MOBILIZATION &amp; SITE MANAGEMENT</t>
  </si>
  <si>
    <t>Heavy Duty Protection (Ram Board, Floor Shell, Trim Protect)</t>
  </si>
  <si>
    <t>Room</t>
  </si>
  <si>
    <t>150 - 300</t>
  </si>
  <si>
    <t>350 - 600</t>
  </si>
  <si>
    <t>Dust Containment (ZipWall Systems &amp; Negative Air Machine)</t>
  </si>
  <si>
    <t>200 - 400</t>
  </si>
  <si>
    <t>450 - 800</t>
  </si>
  <si>
    <t>Demolition Labor &amp; Structural Material Sorting</t>
  </si>
  <si>
    <t>Logistics &amp; Disposal (Dumpster Rental Pulks, 30-Yard)</t>
  </si>
  <si>
    <t>Haul</t>
  </si>
  <si>
    <t>500 - 800</t>
  </si>
  <si>
    <t>850 - 1300</t>
  </si>
  <si>
    <t>PHASE 3: STRUCTURAL ELEMENTS &amp; INTERNAL SYSTEM ROUGH-INS</t>
  </si>
  <si>
    <t>Framing Non-Load Bearing Wood/Metal Partition Walls</t>
  </si>
  <si>
    <t>Lin. Ft.</t>
  </si>
  <si>
    <t>25 - 45</t>
  </si>
  <si>
    <t>50 - 85</t>
  </si>
  <si>
    <t>Structural Framing (Engineered LVL Support Beam Installation)</t>
  </si>
  <si>
    <t>2500 - 4500</t>
  </si>
  <si>
    <t>5000 - 8500</t>
  </si>
  <si>
    <t>Electrical Layout Rough-In (Per Code Boxes, Romex Loops)</t>
  </si>
  <si>
    <t>Per Box</t>
  </si>
  <si>
    <t>90 - 150</t>
  </si>
  <si>
    <t>160 - 260</t>
  </si>
  <si>
    <t>Dedicated Appliance Circuitry 240V/50A Lines</t>
  </si>
  <si>
    <t>Run</t>
  </si>
  <si>
    <t>700 - 1100</t>
  </si>
  <si>
    <t>Plumbing Rough-In Water Lines (PEX) &amp; Drain Arrays (PVC)</t>
  </si>
  <si>
    <t>Fixture</t>
  </si>
  <si>
    <t>750 - 1200</t>
  </si>
  <si>
    <t>1300 - 2200</t>
  </si>
  <si>
    <t>HVAC Duct Modifications, Extension Branches &amp; Register Boots</t>
  </si>
  <si>
    <t>700 - 1200</t>
  </si>
  <si>
    <t>PHASE 4: GRANULAR ROOM-BY-ROOM BUILDOUT - KITCHEN</t>
  </si>
  <si>
    <t>Drywall Sheetrock Substrate (Hang, Tape, Mud Level 4 Finish)</t>
  </si>
  <si>
    <t>2.50 - 4.50</t>
  </si>
  <si>
    <t>5.00 - 7.50</t>
  </si>
  <si>
    <t>Custom Cabinetry Array Installation (Base &amp; Upper Layouts)</t>
  </si>
  <si>
    <t>Premium Solid Surface Countertops (Granite, Quartz Fabricated)</t>
  </si>
  <si>
    <t>65 - 115</t>
  </si>
  <si>
    <t>130 - 210</t>
  </si>
  <si>
    <t>Decorative Glass Tile Backsplash Substrate &amp; Grouts</t>
  </si>
  <si>
    <t>12 - 20</t>
  </si>
  <si>
    <t>Task/Accent Lighting (Recessed LED Cans, Under-Cabinet LED Strips)</t>
  </si>
  <si>
    <t>90 - 160</t>
  </si>
  <si>
    <t>180 - 300</t>
  </si>
  <si>
    <t>PHASE 5: GRANULAR ROOM-BY-ROOM BUILDOUT - MASTER BATHROOM</t>
  </si>
  <si>
    <t>Advanced Shower Waterproofing System (Schluter Kerdi / Wedi)</t>
  </si>
  <si>
    <t>Unit</t>
  </si>
  <si>
    <t>800 - 1400</t>
  </si>
  <si>
    <t>1600 - 2500</t>
  </si>
  <si>
    <t>Premium Porcelain/Stone Tile Layout (Floor &amp; Shower Enclosures)</t>
  </si>
  <si>
    <t>22 - 38</t>
  </si>
  <si>
    <t>Frameless Tempered Glass Shower Door &amp; Hardware Assembly</t>
  </si>
  <si>
    <t>1000 - 1800</t>
  </si>
  <si>
    <t>2000 - 3500</t>
  </si>
  <si>
    <t>Dual Floating or Furniture-Style Vanity Assembly Setup</t>
  </si>
  <si>
    <t>PHASE 6: GRANULAR ROOM-BY-ROOM BUILDOUT - COMMON LIVING &amp; BEDROOMS</t>
  </si>
  <si>
    <t>Popcorn Ceiling Texture Scraping, Skim Coat, and Sanding Smooth</t>
  </si>
  <si>
    <t>3.50 - 6.00</t>
  </si>
  <si>
    <t>7.00 - 11.00</t>
  </si>
  <si>
    <t>Upgraded Architectural Millwork (MDF Crown, Substantial Baseboards)</t>
  </si>
  <si>
    <t>5.50 - 9.00</t>
  </si>
  <si>
    <t>11.00 - 18.00</t>
  </si>
  <si>
    <t>Solid-Core Interior Door Units (Hinges, Jambs, Handlesets Installed)</t>
  </si>
  <si>
    <t>250 - 400</t>
  </si>
  <si>
    <t>450 - 750</t>
  </si>
  <si>
    <t>Luxury Vinyl Plank (LVP) Floor Lock-In System (Labor Only)</t>
  </si>
  <si>
    <t>3.00 - 5.50</t>
  </si>
  <si>
    <t>6.50 - 11.00</t>
  </si>
  <si>
    <t>Full Interior Multi-Coat Painting (Premium Washable Latices)</t>
  </si>
  <si>
    <t>5.50 - 8.50</t>
  </si>
  <si>
    <t>RAW ESTIMATED CONSTRUCTION TOTAL:</t>
  </si>
  <si>
    <t>EMERGENCY CONTINGENCY BUFFER (10%):</t>
  </si>
  <si>
    <t>OPERATIONAL MANAGEMENT &amp; FREIGHT FEE (15%):</t>
  </si>
  <si>
    <t>PROJECTED CONTRACT FIXED-BID TOTAL:</t>
  </si>
  <si>
    <t>Disclaimer Note: This estimating matrix is built as a universal structural blueprint. Market rates and unit costs must be adjusted locally by the project manager to reflect regional raw material swings, local fuel surcharges, and municipal residential zoning structural code mandates.</t>
  </si>
  <si>
    <t>OPERATIONAL REVENUE DRAW SCHEDULE</t>
  </si>
  <si>
    <t>Milestone Stage</t>
  </si>
  <si>
    <t>Draw %</t>
  </si>
  <si>
    <t>Calculation Formula</t>
  </si>
  <si>
    <t>Total Allocation ($)</t>
  </si>
  <si>
    <t>Milestone 1: Contract Activation &amp; Material Pull Deposit</t>
  </si>
  <si>
    <t>Grand Total * 30%</t>
  </si>
  <si>
    <t>Milestone 2: Demolition Exit &amp; Framing/Rough-Ins Passing Sign-off</t>
  </si>
  <si>
    <t>Milestone 3: Sheetrock Closure &amp; Finish Millwork Completion</t>
  </si>
  <si>
    <t>Milestone 4: Client Walkthrough Final Punch-List Verification</t>
  </si>
  <si>
    <t>Grand Total * 10%</t>
  </si>
  <si>
    <t>TOTAL CONTRACT REVENUE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</si>
</sst>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x14ac:knownFonts="1">
    <font>
      <sz val="11"/>
      <color theme="1"/>
      <name val="Calibri"/>
      <family val="2"/>
      <scheme val="minor"/>
    </font>
    <font>
      <b/>
      <sz val="16"/>
      <color rgb="FFFFFFFF"/>
      <name val="Calibri"/>
    </font>
    <font>
      <b/>
      <sz val="11"/>
      <color rgb="FF000000"/>
      <name val="Calibri"/>
    </font>
    <font>
      <sz val="11"/>
      <color rgb="FF000000"/>
      <name val="Calibri"/>
    </font>
    <font>
      <b/>
      <sz val="13"/>
      <color rgb="FFFFFFFF"/>
      <name val="Calibri"/>
    </font>
    <font>
      <b/>
      <sz val="12"/>
      <color rgb="FFC00000"/>
      <name val="Calibri"/>
    </font>
    <font>
      <i/>
      <sz val="9"/>
      <color rgb="FF595959"/>
      <name val="Calibri"/>
    </font>
  </fonts>
  <fills count="6">
    <fill>
      <patternFill patternType="none"/>
    </fill>
    <fill>
      <patternFill patternType="gray125"/>
    </fill>
    <fill>
      <patternFill patternType="solid">
        <fgColor rgb="FF1F4E78"/>
        <bgColor rgb="FF1F4E78"/>
      </patternFill>
    </fill>
    <fill>
      <patternFill patternType="solid">
        <fgColor rgb="FFBDD7EE"/>
        <bgColor rgb="FFBDD7EE"/>
      </patternFill>
    </fill>
    <fill>
      <patternFill patternType="solid">
        <fgColor rgb="FF2F5597"/>
        <bgColor rgb="FF2F5597"/>
      </patternFill>
    </fill>
    <fill>
      <patternFill patternType="solid">
        <fgColor rgb="FFF2F2F2"/>
        <bgColor rgb="FFF2F2F2"/>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bottom style="thin">
        <color rgb="FF000000"/>
      </bottom>
      <diagonal/>
    </border>
    <border>
      <left/>
      <right/>
      <top style="thin">
        <color rgb="FF000000"/>
      </top>
      <bottom style="double">
        <color rgb="FF000000"/>
      </bottom>
      <diagonal/>
    </border>
  </borders>
  <cellStyleXfs count="1">
    <xf numFmtId="0" fontId="0" fillId="0" borderId="0"/>
  </cellStyleXfs>
  <cellXfs count="28">
    <xf numFmtId="0" fontId="0" fillId="0" borderId="0" xfId="0"/>
    <xf numFmtId="0" fontId="2" fillId="0" borderId="0" xfId="0" applyFont="1"/>
    <xf numFmtId="0" fontId="3" fillId="0" borderId="0" xfId="0" applyFont="1"/>
    <xf numFmtId="0" fontId="2" fillId="3" borderId="0" xfId="0" applyFont="1" applyFill="1" applyAlignment="1">
      <alignment horizontal="left" vertical="center" wrapText="1"/>
    </xf>
    <xf numFmtId="0" fontId="2" fillId="3" borderId="0" xfId="0" applyFont="1" applyFill="1" applyAlignment="1">
      <alignment horizontal="center" vertical="center" wrapText="1"/>
    </xf>
    <xf numFmtId="0" fontId="3" fillId="0" borderId="1" xfId="0" applyFont="1" applyBorder="1"/>
    <xf numFmtId="0" fontId="3" fillId="0" borderId="1" xfId="0" applyFont="1" applyBorder="1" applyAlignment="1">
      <alignment horizontal="center"/>
    </xf>
    <xf numFmtId="3" fontId="3" fillId="0" borderId="1" xfId="0" applyNumberFormat="1" applyFont="1" applyBorder="1" applyAlignment="1">
      <alignment horizontal="right"/>
    </xf>
    <xf numFmtId="164" fontId="3" fillId="0" borderId="1" xfId="0" applyNumberFormat="1" applyFont="1" applyBorder="1" applyAlignment="1">
      <alignment horizontal="right"/>
    </xf>
    <xf numFmtId="164" fontId="2" fillId="0" borderId="1" xfId="0" applyNumberFormat="1" applyFont="1" applyBorder="1" applyAlignment="1">
      <alignment horizontal="right"/>
    </xf>
    <xf numFmtId="0" fontId="3" fillId="5" borderId="1" xfId="0" applyFont="1" applyFill="1" applyBorder="1"/>
    <xf numFmtId="0" fontId="3" fillId="5" borderId="1" xfId="0" applyFont="1" applyFill="1" applyBorder="1" applyAlignment="1">
      <alignment horizontal="center"/>
    </xf>
    <xf numFmtId="3" fontId="3" fillId="5" borderId="1" xfId="0" applyNumberFormat="1" applyFont="1" applyFill="1" applyBorder="1" applyAlignment="1">
      <alignment horizontal="right"/>
    </xf>
    <xf numFmtId="164" fontId="3" fillId="5" borderId="1" xfId="0" applyNumberFormat="1" applyFont="1" applyFill="1" applyBorder="1" applyAlignment="1">
      <alignment horizontal="right"/>
    </xf>
    <xf numFmtId="164" fontId="2" fillId="5" borderId="1" xfId="0" applyNumberFormat="1" applyFont="1" applyFill="1" applyBorder="1" applyAlignment="1">
      <alignment horizontal="right"/>
    </xf>
    <xf numFmtId="164" fontId="2" fillId="0" borderId="2" xfId="0" applyNumberFormat="1" applyFont="1" applyBorder="1" applyAlignment="1">
      <alignment horizontal="right" vertical="center"/>
    </xf>
    <xf numFmtId="164" fontId="5" fillId="0" borderId="3" xfId="0" applyNumberFormat="1" applyFont="1" applyBorder="1" applyAlignment="1">
      <alignment horizontal="right" vertical="center"/>
    </xf>
    <xf numFmtId="0" fontId="2" fillId="3" borderId="0" xfId="0" applyFont="1" applyFill="1" applyAlignment="1">
      <alignment horizontal="center" vertical="center"/>
    </xf>
    <xf numFmtId="9" fontId="3" fillId="0" borderId="1" xfId="0" applyNumberFormat="1" applyFont="1" applyBorder="1" applyAlignment="1">
      <alignment horizontal="center"/>
    </xf>
    <xf numFmtId="0" fontId="6" fillId="0" borderId="1" xfId="0" applyFont="1" applyBorder="1" applyAlignment="1">
      <alignment horizontal="center"/>
    </xf>
    <xf numFmtId="0" fontId="2" fillId="0" borderId="0" xfId="0" applyFont="1" applyAlignment="1">
      <alignment horizontal="right"/>
    </xf>
    <xf numFmtId="9" fontId="2" fillId="0" borderId="0" xfId="0" applyNumberFormat="1" applyFont="1"/>
    <xf numFmtId="164" fontId="2" fillId="0" borderId="3" xfId="0" applyNumberFormat="1" applyFont="1" applyBorder="1"/>
    <xf numFmtId="0" fontId="1" fillId="2" borderId="0" xfId="0" applyFont="1" applyFill="1" applyAlignment="1">
      <alignment horizontal="center" vertical="center"/>
    </xf>
    <xf numFmtId="0" fontId="0" fillId="0" borderId="0" xfId="0"/>
    <xf numFmtId="0" fontId="4" fillId="4" borderId="0" xfId="0" applyFont="1" applyFill="1" applyAlignment="1">
      <alignment vertical="center" indent="1"/>
    </xf>
    <xf numFmtId="0" fontId="2" fillId="0" borderId="0" xfId="0" applyFont="1" applyAlignment="1">
      <alignment horizontal="right" vertical="center"/>
    </xf>
    <xf numFmtId="0" fontId="6"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election activeCell="K18" sqref="K18"/>
    </sheetView>
  </sheetViews>
  <sheetFormatPr defaultRowHeight="14.6" x14ac:dyDescent="0.4"/>
  <cols>
    <col min="1" max="1" width="60" customWidth="1"/>
    <col min="2" max="2" width="22" customWidth="1"/>
    <col min="3" max="3" width="12" customWidth="1"/>
    <col min="4" max="4" width="16" customWidth="1"/>
    <col min="5" max="5" width="21" customWidth="1"/>
    <col min="6" max="7" width="24" customWidth="1"/>
  </cols>
  <sheetData>
    <row r="1" spans="1:7" ht="40" customHeight="1" x14ac:dyDescent="0.4">
      <c r="A1" s="23" t="s">
        <v>0</v>
      </c>
      <c r="B1" s="24"/>
      <c r="C1" s="24"/>
      <c r="D1" s="24"/>
      <c r="E1" s="24"/>
      <c r="F1" s="24"/>
      <c r="G1" s="24"/>
    </row>
    <row r="2" spans="1:7" x14ac:dyDescent="0.4">
      <c r="A2" s="1" t="s">
        <v>1</v>
      </c>
      <c r="B2" s="2" t="s">
        <v>2</v>
      </c>
      <c r="E2" s="1" t="s">
        <v>3</v>
      </c>
      <c r="F2" s="2">
        <f ca="1">TODAY()</f>
        <v>46283</v>
      </c>
    </row>
    <row r="3" spans="1:7" x14ac:dyDescent="0.4">
      <c r="A3" s="1" t="s">
        <v>4</v>
      </c>
      <c r="B3" s="2" t="s">
        <v>5</v>
      </c>
      <c r="E3" s="1" t="s">
        <v>6</v>
      </c>
      <c r="F3" s="2" t="s">
        <v>7</v>
      </c>
    </row>
    <row r="5" spans="1:7" ht="25" customHeight="1" x14ac:dyDescent="0.4">
      <c r="A5" s="3" t="s">
        <v>8</v>
      </c>
      <c r="B5" s="4" t="s">
        <v>9</v>
      </c>
      <c r="C5" s="4" t="s">
        <v>10</v>
      </c>
      <c r="D5" s="4" t="s">
        <v>11</v>
      </c>
      <c r="E5" s="4" t="s">
        <v>12</v>
      </c>
      <c r="F5" s="4" t="s">
        <v>13</v>
      </c>
      <c r="G5" s="4" t="s">
        <v>14</v>
      </c>
    </row>
    <row r="6" spans="1:7" ht="24" customHeight="1" x14ac:dyDescent="0.4">
      <c r="A6" s="25" t="s">
        <v>15</v>
      </c>
      <c r="B6" s="24"/>
      <c r="C6" s="24"/>
      <c r="D6" s="24"/>
      <c r="E6" s="24"/>
      <c r="F6" s="24"/>
      <c r="G6" s="24"/>
    </row>
    <row r="7" spans="1:7" ht="20.05" customHeight="1" x14ac:dyDescent="0.4">
      <c r="A7" s="5" t="s">
        <v>16</v>
      </c>
      <c r="B7" s="6" t="s">
        <v>17</v>
      </c>
      <c r="C7" s="7">
        <v>1</v>
      </c>
      <c r="D7" s="8">
        <v>250</v>
      </c>
      <c r="E7" s="9">
        <f>C7*D7</f>
        <v>250</v>
      </c>
      <c r="F7" s="6" t="s">
        <v>18</v>
      </c>
      <c r="G7" s="6" t="s">
        <v>19</v>
      </c>
    </row>
    <row r="8" spans="1:7" ht="20.05" customHeight="1" x14ac:dyDescent="0.4">
      <c r="A8" s="10" t="s">
        <v>20</v>
      </c>
      <c r="B8" s="11" t="s">
        <v>21</v>
      </c>
      <c r="C8" s="12">
        <v>0</v>
      </c>
      <c r="D8" s="13">
        <v>4.5</v>
      </c>
      <c r="E8" s="14">
        <f>C8*D8</f>
        <v>0</v>
      </c>
      <c r="F8" s="11" t="s">
        <v>22</v>
      </c>
      <c r="G8" s="11" t="s">
        <v>23</v>
      </c>
    </row>
    <row r="9" spans="1:7" ht="20.05" customHeight="1" x14ac:dyDescent="0.4">
      <c r="A9" s="5" t="s">
        <v>24</v>
      </c>
      <c r="B9" s="6" t="s">
        <v>17</v>
      </c>
      <c r="C9" s="7">
        <v>1</v>
      </c>
      <c r="D9" s="8">
        <v>600</v>
      </c>
      <c r="E9" s="9">
        <f>C9*D9</f>
        <v>600</v>
      </c>
      <c r="F9" s="6" t="s">
        <v>25</v>
      </c>
      <c r="G9" s="6" t="s">
        <v>26</v>
      </c>
    </row>
    <row r="10" spans="1:7" ht="20.05" customHeight="1" x14ac:dyDescent="0.4">
      <c r="A10" s="10" t="s">
        <v>27</v>
      </c>
      <c r="B10" s="11" t="s">
        <v>17</v>
      </c>
      <c r="C10" s="12">
        <v>0</v>
      </c>
      <c r="D10" s="13">
        <v>150</v>
      </c>
      <c r="E10" s="14">
        <f>C10*D10</f>
        <v>0</v>
      </c>
      <c r="F10" s="11" t="s">
        <v>28</v>
      </c>
      <c r="G10" s="11" t="s">
        <v>29</v>
      </c>
    </row>
    <row r="11" spans="1:7" ht="24" customHeight="1" x14ac:dyDescent="0.4">
      <c r="A11" s="25" t="s">
        <v>30</v>
      </c>
      <c r="B11" s="24"/>
      <c r="C11" s="24"/>
      <c r="D11" s="24"/>
      <c r="E11" s="24"/>
      <c r="F11" s="24"/>
      <c r="G11" s="24"/>
    </row>
    <row r="12" spans="1:7" ht="20.05" customHeight="1" x14ac:dyDescent="0.4">
      <c r="A12" s="10" t="s">
        <v>31</v>
      </c>
      <c r="B12" s="11" t="s">
        <v>32</v>
      </c>
      <c r="C12" s="12">
        <v>3</v>
      </c>
      <c r="D12" s="13">
        <v>200</v>
      </c>
      <c r="E12" s="14">
        <f>C12*D12</f>
        <v>600</v>
      </c>
      <c r="F12" s="11" t="s">
        <v>33</v>
      </c>
      <c r="G12" s="11" t="s">
        <v>34</v>
      </c>
    </row>
    <row r="13" spans="1:7" ht="20.05" customHeight="1" x14ac:dyDescent="0.4">
      <c r="A13" s="5" t="s">
        <v>35</v>
      </c>
      <c r="B13" s="6" t="s">
        <v>32</v>
      </c>
      <c r="C13" s="7">
        <v>2</v>
      </c>
      <c r="D13" s="8">
        <v>250</v>
      </c>
      <c r="E13" s="9">
        <f>C13*D13</f>
        <v>500</v>
      </c>
      <c r="F13" s="6" t="s">
        <v>36</v>
      </c>
      <c r="G13" s="6" t="s">
        <v>37</v>
      </c>
    </row>
    <row r="14" spans="1:7" ht="20.05" customHeight="1" x14ac:dyDescent="0.4">
      <c r="A14" s="10" t="s">
        <v>38</v>
      </c>
      <c r="B14" s="11" t="s">
        <v>21</v>
      </c>
      <c r="C14" s="12">
        <v>1200</v>
      </c>
      <c r="D14" s="13">
        <v>4.5</v>
      </c>
      <c r="E14" s="14">
        <f>C14*D14</f>
        <v>5400</v>
      </c>
      <c r="F14" s="11" t="s">
        <v>22</v>
      </c>
      <c r="G14" s="11" t="s">
        <v>23</v>
      </c>
    </row>
    <row r="15" spans="1:7" ht="20.05" customHeight="1" x14ac:dyDescent="0.4">
      <c r="A15" s="5" t="s">
        <v>39</v>
      </c>
      <c r="B15" s="6" t="s">
        <v>40</v>
      </c>
      <c r="C15" s="7">
        <v>2</v>
      </c>
      <c r="D15" s="8">
        <v>650</v>
      </c>
      <c r="E15" s="9">
        <f>C15*D15</f>
        <v>1300</v>
      </c>
      <c r="F15" s="6" t="s">
        <v>41</v>
      </c>
      <c r="G15" s="6" t="s">
        <v>42</v>
      </c>
    </row>
    <row r="16" spans="1:7" ht="24" customHeight="1" x14ac:dyDescent="0.4">
      <c r="A16" s="25" t="s">
        <v>43</v>
      </c>
      <c r="B16" s="24"/>
      <c r="C16" s="24"/>
      <c r="D16" s="24"/>
      <c r="E16" s="24"/>
      <c r="F16" s="24"/>
      <c r="G16" s="24"/>
    </row>
    <row r="17" spans="1:7" ht="20.05" customHeight="1" x14ac:dyDescent="0.4">
      <c r="A17" s="5" t="s">
        <v>44</v>
      </c>
      <c r="B17" s="6" t="s">
        <v>45</v>
      </c>
      <c r="C17" s="7">
        <v>45</v>
      </c>
      <c r="D17" s="8">
        <v>35</v>
      </c>
      <c r="E17" s="9">
        <f t="shared" ref="E17:E22" si="0">C17*D17</f>
        <v>1575</v>
      </c>
      <c r="F17" s="6" t="s">
        <v>46</v>
      </c>
      <c r="G17" s="6" t="s">
        <v>47</v>
      </c>
    </row>
    <row r="18" spans="1:7" ht="20.05" customHeight="1" x14ac:dyDescent="0.4">
      <c r="A18" s="10" t="s">
        <v>48</v>
      </c>
      <c r="B18" s="11" t="s">
        <v>17</v>
      </c>
      <c r="C18" s="12">
        <v>0</v>
      </c>
      <c r="D18" s="13">
        <v>3500</v>
      </c>
      <c r="E18" s="14">
        <f t="shared" si="0"/>
        <v>0</v>
      </c>
      <c r="F18" s="11" t="s">
        <v>49</v>
      </c>
      <c r="G18" s="11" t="s">
        <v>50</v>
      </c>
    </row>
    <row r="19" spans="1:7" ht="20.05" customHeight="1" x14ac:dyDescent="0.4">
      <c r="A19" s="5" t="s">
        <v>51</v>
      </c>
      <c r="B19" s="6" t="s">
        <v>52</v>
      </c>
      <c r="C19" s="7">
        <v>22</v>
      </c>
      <c r="D19" s="8">
        <v>130</v>
      </c>
      <c r="E19" s="9">
        <f t="shared" si="0"/>
        <v>2860</v>
      </c>
      <c r="F19" s="6" t="s">
        <v>53</v>
      </c>
      <c r="G19" s="6" t="s">
        <v>54</v>
      </c>
    </row>
    <row r="20" spans="1:7" ht="20.05" customHeight="1" x14ac:dyDescent="0.4">
      <c r="A20" s="10" t="s">
        <v>55</v>
      </c>
      <c r="B20" s="11" t="s">
        <v>56</v>
      </c>
      <c r="C20" s="12">
        <v>2</v>
      </c>
      <c r="D20" s="13">
        <v>450</v>
      </c>
      <c r="E20" s="14">
        <f t="shared" si="0"/>
        <v>900</v>
      </c>
      <c r="F20" s="11" t="s">
        <v>34</v>
      </c>
      <c r="G20" s="11" t="s">
        <v>57</v>
      </c>
    </row>
    <row r="21" spans="1:7" ht="20.05" customHeight="1" x14ac:dyDescent="0.4">
      <c r="A21" s="5" t="s">
        <v>58</v>
      </c>
      <c r="B21" s="6" t="s">
        <v>59</v>
      </c>
      <c r="C21" s="7">
        <v>6</v>
      </c>
      <c r="D21" s="8">
        <v>950</v>
      </c>
      <c r="E21" s="9">
        <f t="shared" si="0"/>
        <v>5700</v>
      </c>
      <c r="F21" s="6" t="s">
        <v>60</v>
      </c>
      <c r="G21" s="6" t="s">
        <v>61</v>
      </c>
    </row>
    <row r="22" spans="1:7" ht="20.05" customHeight="1" x14ac:dyDescent="0.4">
      <c r="A22" s="10" t="s">
        <v>62</v>
      </c>
      <c r="B22" s="11" t="s">
        <v>56</v>
      </c>
      <c r="C22" s="12">
        <v>3</v>
      </c>
      <c r="D22" s="13">
        <v>450</v>
      </c>
      <c r="E22" s="14">
        <f t="shared" si="0"/>
        <v>1350</v>
      </c>
      <c r="F22" s="11" t="s">
        <v>34</v>
      </c>
      <c r="G22" s="11" t="s">
        <v>63</v>
      </c>
    </row>
    <row r="23" spans="1:7" ht="24" customHeight="1" x14ac:dyDescent="0.4">
      <c r="A23" s="25" t="s">
        <v>64</v>
      </c>
      <c r="B23" s="24"/>
      <c r="C23" s="24"/>
      <c r="D23" s="24"/>
      <c r="E23" s="24"/>
      <c r="F23" s="24"/>
      <c r="G23" s="24"/>
    </row>
    <row r="24" spans="1:7" ht="20.05" customHeight="1" x14ac:dyDescent="0.4">
      <c r="A24" s="10" t="s">
        <v>65</v>
      </c>
      <c r="B24" s="11" t="s">
        <v>21</v>
      </c>
      <c r="C24" s="12">
        <v>850</v>
      </c>
      <c r="D24" s="13">
        <v>3.25</v>
      </c>
      <c r="E24" s="14">
        <f>C24*D24</f>
        <v>2762.5</v>
      </c>
      <c r="F24" s="11" t="s">
        <v>66</v>
      </c>
      <c r="G24" s="11" t="s">
        <v>67</v>
      </c>
    </row>
    <row r="25" spans="1:7" ht="20.05" customHeight="1" x14ac:dyDescent="0.4">
      <c r="A25" s="5" t="s">
        <v>68</v>
      </c>
      <c r="B25" s="6" t="s">
        <v>45</v>
      </c>
      <c r="C25" s="7">
        <v>25</v>
      </c>
      <c r="D25" s="8">
        <v>220</v>
      </c>
      <c r="E25" s="9">
        <f>C25*D25</f>
        <v>5500</v>
      </c>
      <c r="F25" s="6" t="s">
        <v>33</v>
      </c>
      <c r="G25" s="6" t="s">
        <v>34</v>
      </c>
    </row>
    <row r="26" spans="1:7" ht="20.05" customHeight="1" x14ac:dyDescent="0.4">
      <c r="A26" s="10" t="s">
        <v>69</v>
      </c>
      <c r="B26" s="11" t="s">
        <v>21</v>
      </c>
      <c r="C26" s="12">
        <v>65</v>
      </c>
      <c r="D26" s="13">
        <v>85</v>
      </c>
      <c r="E26" s="14">
        <f>C26*D26</f>
        <v>5525</v>
      </c>
      <c r="F26" s="11" t="s">
        <v>70</v>
      </c>
      <c r="G26" s="11" t="s">
        <v>71</v>
      </c>
    </row>
    <row r="27" spans="1:7" ht="20.05" customHeight="1" x14ac:dyDescent="0.4">
      <c r="A27" s="5" t="s">
        <v>72</v>
      </c>
      <c r="B27" s="6" t="s">
        <v>21</v>
      </c>
      <c r="C27" s="7">
        <v>40</v>
      </c>
      <c r="D27" s="8">
        <v>16</v>
      </c>
      <c r="E27" s="9">
        <f>C27*D27</f>
        <v>640</v>
      </c>
      <c r="F27" s="6" t="s">
        <v>73</v>
      </c>
      <c r="G27" s="6" t="s">
        <v>46</v>
      </c>
    </row>
    <row r="28" spans="1:7" ht="20.05" customHeight="1" x14ac:dyDescent="0.4">
      <c r="A28" s="10" t="s">
        <v>74</v>
      </c>
      <c r="B28" s="11" t="s">
        <v>59</v>
      </c>
      <c r="C28" s="12">
        <v>8</v>
      </c>
      <c r="D28" s="13">
        <v>120</v>
      </c>
      <c r="E28" s="14">
        <f>C28*D28</f>
        <v>960</v>
      </c>
      <c r="F28" s="11" t="s">
        <v>75</v>
      </c>
      <c r="G28" s="11" t="s">
        <v>76</v>
      </c>
    </row>
    <row r="29" spans="1:7" ht="24" customHeight="1" x14ac:dyDescent="0.4">
      <c r="A29" s="25" t="s">
        <v>77</v>
      </c>
      <c r="B29" s="24"/>
      <c r="C29" s="24"/>
      <c r="D29" s="24"/>
      <c r="E29" s="24"/>
      <c r="F29" s="24"/>
      <c r="G29" s="24"/>
    </row>
    <row r="30" spans="1:7" ht="20.05" customHeight="1" x14ac:dyDescent="0.4">
      <c r="A30" s="10" t="s">
        <v>78</v>
      </c>
      <c r="B30" s="11" t="s">
        <v>79</v>
      </c>
      <c r="C30" s="12">
        <v>1</v>
      </c>
      <c r="D30" s="13">
        <v>1100</v>
      </c>
      <c r="E30" s="14">
        <f>C30*D30</f>
        <v>1100</v>
      </c>
      <c r="F30" s="11" t="s">
        <v>80</v>
      </c>
      <c r="G30" s="11" t="s">
        <v>81</v>
      </c>
    </row>
    <row r="31" spans="1:7" ht="20.05" customHeight="1" x14ac:dyDescent="0.4">
      <c r="A31" s="5" t="s">
        <v>82</v>
      </c>
      <c r="B31" s="6" t="s">
        <v>21</v>
      </c>
      <c r="C31" s="7">
        <v>180</v>
      </c>
      <c r="D31" s="8">
        <v>15</v>
      </c>
      <c r="E31" s="9">
        <f>C31*D31</f>
        <v>2700</v>
      </c>
      <c r="F31" s="6" t="s">
        <v>73</v>
      </c>
      <c r="G31" s="6" t="s">
        <v>83</v>
      </c>
    </row>
    <row r="32" spans="1:7" ht="20.05" customHeight="1" x14ac:dyDescent="0.4">
      <c r="A32" s="10" t="s">
        <v>84</v>
      </c>
      <c r="B32" s="11" t="s">
        <v>17</v>
      </c>
      <c r="C32" s="12">
        <v>1</v>
      </c>
      <c r="D32" s="13">
        <v>1400</v>
      </c>
      <c r="E32" s="14">
        <f>C32*D32</f>
        <v>1400</v>
      </c>
      <c r="F32" s="11" t="s">
        <v>85</v>
      </c>
      <c r="G32" s="11" t="s">
        <v>86</v>
      </c>
    </row>
    <row r="33" spans="1:7" ht="20.05" customHeight="1" x14ac:dyDescent="0.4">
      <c r="A33" s="5" t="s">
        <v>87</v>
      </c>
      <c r="B33" s="6" t="s">
        <v>79</v>
      </c>
      <c r="C33" s="7">
        <v>1</v>
      </c>
      <c r="D33" s="8">
        <v>450</v>
      </c>
      <c r="E33" s="9">
        <f>C33*D33</f>
        <v>450</v>
      </c>
      <c r="F33" s="6" t="s">
        <v>29</v>
      </c>
      <c r="G33" s="6" t="s">
        <v>63</v>
      </c>
    </row>
    <row r="34" spans="1:7" ht="24" customHeight="1" x14ac:dyDescent="0.4">
      <c r="A34" s="25" t="s">
        <v>88</v>
      </c>
      <c r="B34" s="24"/>
      <c r="C34" s="24"/>
      <c r="D34" s="24"/>
      <c r="E34" s="24"/>
      <c r="F34" s="24"/>
      <c r="G34" s="24"/>
    </row>
    <row r="35" spans="1:7" ht="20.05" customHeight="1" x14ac:dyDescent="0.4">
      <c r="A35" s="5" t="s">
        <v>89</v>
      </c>
      <c r="B35" s="6" t="s">
        <v>21</v>
      </c>
      <c r="C35" s="7">
        <v>600</v>
      </c>
      <c r="D35" s="8">
        <v>4.5</v>
      </c>
      <c r="E35" s="9">
        <f>C35*D35</f>
        <v>2700</v>
      </c>
      <c r="F35" s="6" t="s">
        <v>90</v>
      </c>
      <c r="G35" s="6" t="s">
        <v>91</v>
      </c>
    </row>
    <row r="36" spans="1:7" ht="20.05" customHeight="1" x14ac:dyDescent="0.4">
      <c r="A36" s="10" t="s">
        <v>92</v>
      </c>
      <c r="B36" s="11" t="s">
        <v>45</v>
      </c>
      <c r="C36" s="12">
        <v>240</v>
      </c>
      <c r="D36" s="13">
        <v>7.5</v>
      </c>
      <c r="E36" s="14">
        <f>C36*D36</f>
        <v>1800</v>
      </c>
      <c r="F36" s="11" t="s">
        <v>93</v>
      </c>
      <c r="G36" s="11" t="s">
        <v>94</v>
      </c>
    </row>
    <row r="37" spans="1:7" ht="20.05" customHeight="1" x14ac:dyDescent="0.4">
      <c r="A37" s="5" t="s">
        <v>95</v>
      </c>
      <c r="B37" s="6" t="s">
        <v>79</v>
      </c>
      <c r="C37" s="7">
        <v>4</v>
      </c>
      <c r="D37" s="8">
        <v>320</v>
      </c>
      <c r="E37" s="9">
        <f>C37*D37</f>
        <v>1280</v>
      </c>
      <c r="F37" s="6" t="s">
        <v>96</v>
      </c>
      <c r="G37" s="6" t="s">
        <v>97</v>
      </c>
    </row>
    <row r="38" spans="1:7" ht="20.05" customHeight="1" x14ac:dyDescent="0.4">
      <c r="A38" s="10" t="s">
        <v>98</v>
      </c>
      <c r="B38" s="11" t="s">
        <v>21</v>
      </c>
      <c r="C38" s="12">
        <v>950</v>
      </c>
      <c r="D38" s="13">
        <v>4</v>
      </c>
      <c r="E38" s="14">
        <f>C38*D38</f>
        <v>3800</v>
      </c>
      <c r="F38" s="11" t="s">
        <v>99</v>
      </c>
      <c r="G38" s="11" t="s">
        <v>100</v>
      </c>
    </row>
    <row r="39" spans="1:7" ht="20.05" customHeight="1" x14ac:dyDescent="0.4">
      <c r="A39" s="5" t="s">
        <v>101</v>
      </c>
      <c r="B39" s="6" t="s">
        <v>21</v>
      </c>
      <c r="C39" s="7">
        <v>2200</v>
      </c>
      <c r="D39" s="8">
        <v>3.5</v>
      </c>
      <c r="E39" s="9">
        <f>C39*D39</f>
        <v>7700</v>
      </c>
      <c r="F39" s="6" t="s">
        <v>66</v>
      </c>
      <c r="G39" s="6" t="s">
        <v>102</v>
      </c>
    </row>
    <row r="41" spans="1:7" ht="22" customHeight="1" x14ac:dyDescent="0.4">
      <c r="A41" s="26" t="s">
        <v>103</v>
      </c>
      <c r="B41" s="24"/>
      <c r="C41" s="24"/>
      <c r="D41" s="24"/>
      <c r="E41" s="15">
        <f>SUM(E6:E39)</f>
        <v>59352.5</v>
      </c>
    </row>
    <row r="42" spans="1:7" ht="22" customHeight="1" x14ac:dyDescent="0.4">
      <c r="A42" s="26" t="s">
        <v>104</v>
      </c>
      <c r="B42" s="24"/>
      <c r="C42" s="24"/>
      <c r="D42" s="24"/>
      <c r="E42" s="15">
        <f>E41*0.1</f>
        <v>5935.25</v>
      </c>
    </row>
    <row r="43" spans="1:7" ht="22" customHeight="1" x14ac:dyDescent="0.4">
      <c r="A43" s="26" t="s">
        <v>105</v>
      </c>
      <c r="B43" s="24"/>
      <c r="C43" s="24"/>
      <c r="D43" s="24"/>
      <c r="E43" s="15">
        <f>E41*0.15</f>
        <v>8902.875</v>
      </c>
    </row>
    <row r="44" spans="1:7" ht="22" customHeight="1" x14ac:dyDescent="0.4">
      <c r="A44" s="26" t="s">
        <v>106</v>
      </c>
      <c r="B44" s="24"/>
      <c r="C44" s="24"/>
      <c r="D44" s="24"/>
      <c r="E44" s="16">
        <f>E41+E42+E43</f>
        <v>74190.625</v>
      </c>
    </row>
    <row r="46" spans="1:7" x14ac:dyDescent="0.4">
      <c r="A46" s="27" t="s">
        <v>107</v>
      </c>
      <c r="B46" s="24"/>
      <c r="C46" s="24"/>
      <c r="D46" s="24"/>
      <c r="E46" s="24"/>
      <c r="F46" s="24"/>
      <c r="G46" s="24"/>
    </row>
    <row r="47" spans="1:7" x14ac:dyDescent="0.4">
      <c r="A47" s="24"/>
      <c r="B47" s="24"/>
      <c r="C47" s="24"/>
      <c r="D47" s="24"/>
      <c r="E47" s="24"/>
      <c r="F47" s="24"/>
      <c r="G47" s="24"/>
    </row>
    <row r="48" spans="1:7" x14ac:dyDescent="0.4">
      <c r="A48" s="24"/>
      <c r="B48" s="24"/>
      <c r="C48" s="24"/>
      <c r="D48" s="24"/>
      <c r="E48" s="24"/>
      <c r="F48" s="24"/>
      <c r="G48" s="24"/>
    </row>
  </sheetData>
  <mergeCells count="12">
    <mergeCell ref="A46:G48"/>
    <mergeCell ref="A42:D42"/>
    <mergeCell ref="A11:G11"/>
    <mergeCell ref="A44:D44"/>
    <mergeCell ref="A23:G23"/>
    <mergeCell ref="A1:G1"/>
    <mergeCell ref="A6:G6"/>
    <mergeCell ref="A34:G34"/>
    <mergeCell ref="A16:G16"/>
    <mergeCell ref="A43:D43"/>
    <mergeCell ref="A29:G29"/>
    <mergeCell ref="A41:D4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selection sqref="A1:D1"/>
    </sheetView>
  </sheetViews>
  <sheetFormatPr defaultRowHeight="14.6" x14ac:dyDescent="0.4"/>
  <cols>
    <col min="1" max="1" width="60" customWidth="1"/>
    <col min="2" max="2" width="12" customWidth="1"/>
    <col min="3" max="3" width="25" customWidth="1"/>
    <col min="4" max="4" width="22" customWidth="1"/>
  </cols>
  <sheetData>
    <row r="1" spans="1:4" ht="40" customHeight="1" x14ac:dyDescent="0.4">
      <c r="A1" s="23" t="s">
        <v>108</v>
      </c>
      <c r="B1" s="24"/>
      <c r="C1" s="24"/>
      <c r="D1" s="24"/>
    </row>
    <row r="3" spans="1:4" ht="25" customHeight="1" x14ac:dyDescent="0.4">
      <c r="A3" s="17" t="s">
        <v>109</v>
      </c>
      <c r="B3" s="17" t="s">
        <v>110</v>
      </c>
      <c r="C3" s="17" t="s">
        <v>111</v>
      </c>
      <c r="D3" s="17" t="s">
        <v>112</v>
      </c>
    </row>
    <row r="4" spans="1:4" x14ac:dyDescent="0.4">
      <c r="A4" s="5" t="s">
        <v>113</v>
      </c>
      <c r="B4" s="18">
        <v>0.3</v>
      </c>
      <c r="C4" s="19" t="s">
        <v>114</v>
      </c>
      <c r="D4" s="9">
        <f>'Master Project Estimator'!E44*0.3</f>
        <v>22257.1875</v>
      </c>
    </row>
    <row r="5" spans="1:4" x14ac:dyDescent="0.4">
      <c r="A5" s="5" t="s">
        <v>115</v>
      </c>
      <c r="B5" s="18">
        <v>0.3</v>
      </c>
      <c r="C5" s="19" t="s">
        <v>114</v>
      </c>
      <c r="D5" s="9">
        <f>'Master Project Estimator'!E44*0.3</f>
        <v>22257.1875</v>
      </c>
    </row>
    <row r="6" spans="1:4" x14ac:dyDescent="0.4">
      <c r="A6" s="5" t="s">
        <v>116</v>
      </c>
      <c r="B6" s="18">
        <v>0.3</v>
      </c>
      <c r="C6" s="19" t="s">
        <v>114</v>
      </c>
      <c r="D6" s="9">
        <f>'Master Project Estimator'!E44*0.3</f>
        <v>22257.1875</v>
      </c>
    </row>
    <row r="7" spans="1:4" x14ac:dyDescent="0.4">
      <c r="A7" s="5" t="s">
        <v>117</v>
      </c>
      <c r="B7" s="18">
        <v>0.1</v>
      </c>
      <c r="C7" s="19" t="s">
        <v>118</v>
      </c>
      <c r="D7" s="9">
        <f>'Master Project Estimator'!E44*0.1</f>
        <v>7419.0625</v>
      </c>
    </row>
    <row r="8" spans="1:4" x14ac:dyDescent="0.4">
      <c r="A8" s="20" t="s">
        <v>119</v>
      </c>
      <c r="B8" s="21">
        <f>SUM(B4:B7)</f>
        <v>0.99999999999999989</v>
      </c>
      <c r="D8" s="22">
        <f>SUM(D4:D7)</f>
        <v>74190.625</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Project Estimator</vt:lpstr>
      <vt:lpstr>Draw Schedule &amp; Milestones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Roger Orozco</cp:lastModifiedBy>
  <dcterms:created xsi:type="dcterms:W3CDTF">2026-09-18T18:52:42Z</dcterms:created>
  <dcterms:modified xsi:type="dcterms:W3CDTF">2026-09-18T18:55:08Z</dcterms:modified>
</cp:coreProperties>
</file>