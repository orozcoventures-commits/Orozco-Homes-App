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ishardhomes-my.sharepoint.com/personal/rorozco_bishardhomes_com/Documents/Desktop/"/>
    </mc:Choice>
  </mc:AlternateContent>
  <xr:revisionPtr revIDLastSave="0" documentId="8_{06A5E974-1E56-4009-8AB1-0AD0811F17D8}" xr6:coauthVersionLast="47" xr6:coauthVersionMax="47" xr10:uidLastSave="{00000000-0000-0000-0000-000000000000}"/>
  <bookViews>
    <workbookView xWindow="38290" yWindow="-110" windowWidth="38620" windowHeight="21100" tabRatio="500" xr2:uid="{00000000-000D-0000-FFFF-FFFF00000000}"/>
  </bookViews>
  <sheets>
    <sheet name="Read Me" sheetId="1" r:id="rId1"/>
    <sheet name="Income Statement" sheetId="2" r:id="rId2"/>
    <sheet name="Balance Sheet" sheetId="3" r:id="rId3"/>
    <sheet name="Cash Flow Statement" sheetId="4" r:id="rId4"/>
    <sheet name="Ratio 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5" l="1"/>
  <c r="C27" i="5"/>
  <c r="B27" i="5"/>
  <c r="D26" i="5"/>
  <c r="C26" i="5"/>
  <c r="B26" i="5"/>
  <c r="D4" i="5"/>
  <c r="C4" i="5"/>
  <c r="B4" i="5"/>
  <c r="D25" i="4"/>
  <c r="C25" i="4"/>
  <c r="B25" i="4"/>
  <c r="D19" i="4"/>
  <c r="C19" i="4"/>
  <c r="B19" i="4"/>
  <c r="D13" i="4"/>
  <c r="C13" i="4"/>
  <c r="D12" i="4"/>
  <c r="C12" i="4"/>
  <c r="D11" i="4"/>
  <c r="C11" i="4"/>
  <c r="D10" i="4"/>
  <c r="C10" i="4"/>
  <c r="D9" i="4"/>
  <c r="C9" i="4"/>
  <c r="D8" i="4"/>
  <c r="C8" i="4"/>
  <c r="B8" i="4"/>
  <c r="D4" i="4"/>
  <c r="C4" i="4"/>
  <c r="B4" i="4"/>
  <c r="B43" i="3"/>
  <c r="B19" i="5" s="1"/>
  <c r="C41" i="3"/>
  <c r="C36" i="3"/>
  <c r="B36" i="3"/>
  <c r="C34" i="3"/>
  <c r="D31" i="3"/>
  <c r="C31" i="3"/>
  <c r="C38" i="3" s="1"/>
  <c r="B31" i="3"/>
  <c r="B38" i="3" s="1"/>
  <c r="B45" i="3" s="1"/>
  <c r="B18" i="3"/>
  <c r="B21" i="3" s="1"/>
  <c r="C17" i="3"/>
  <c r="D16" i="3"/>
  <c r="C16" i="3"/>
  <c r="D4" i="3"/>
  <c r="C4" i="3"/>
  <c r="B4" i="3"/>
  <c r="D28" i="2"/>
  <c r="C28" i="2"/>
  <c r="B28" i="2"/>
  <c r="D21" i="2"/>
  <c r="C21" i="2"/>
  <c r="B21" i="2"/>
  <c r="D9" i="2"/>
  <c r="C9" i="2"/>
  <c r="B9" i="2"/>
  <c r="D41" i="3" l="1"/>
  <c r="D34" i="3"/>
  <c r="D17" i="3"/>
  <c r="D18" i="3" s="1"/>
  <c r="D21" i="3" s="1"/>
  <c r="C18" i="3"/>
  <c r="C21" i="3" s="1"/>
  <c r="D25" i="5"/>
  <c r="D12" i="2"/>
  <c r="C25" i="5"/>
  <c r="C12" i="2"/>
  <c r="B25" i="5"/>
  <c r="B12" i="2"/>
  <c r="D36" i="3" l="1"/>
  <c r="D38" i="3" s="1"/>
  <c r="D23" i="2"/>
  <c r="D7" i="5"/>
  <c r="C23" i="2"/>
  <c r="C7" i="5"/>
  <c r="B23" i="2"/>
  <c r="B7" i="5"/>
  <c r="D8" i="5" l="1"/>
  <c r="D21" i="5"/>
  <c r="D30" i="2"/>
  <c r="C21" i="5"/>
  <c r="C8" i="5"/>
  <c r="C30" i="2"/>
  <c r="B8" i="5"/>
  <c r="B30" i="2"/>
  <c r="B21" i="5"/>
  <c r="D32" i="2" l="1"/>
  <c r="D34" i="2"/>
  <c r="C32" i="2"/>
  <c r="C34" i="2"/>
  <c r="B32" i="2"/>
  <c r="B34" i="2"/>
  <c r="D7" i="4" l="1"/>
  <c r="D14" i="4" s="1"/>
  <c r="D9" i="5"/>
  <c r="C42" i="3"/>
  <c r="C7" i="4"/>
  <c r="C14" i="4" s="1"/>
  <c r="C9" i="5"/>
  <c r="B7" i="4"/>
  <c r="B14" i="4" s="1"/>
  <c r="B11" i="5"/>
  <c r="B9" i="5"/>
  <c r="D27" i="4" l="1"/>
  <c r="D30" i="5"/>
  <c r="D31" i="5"/>
  <c r="D32" i="5" s="1"/>
  <c r="D33" i="5"/>
  <c r="C43" i="3"/>
  <c r="D42" i="3"/>
  <c r="D43" i="3" s="1"/>
  <c r="C27" i="4"/>
  <c r="C30" i="5"/>
  <c r="C31" i="5"/>
  <c r="C32" i="5" s="1"/>
  <c r="C33" i="5"/>
  <c r="B27" i="4"/>
  <c r="B29" i="4" s="1"/>
  <c r="B30" i="5"/>
  <c r="B31" i="5"/>
  <c r="B32" i="5" s="1"/>
  <c r="B33" i="5"/>
  <c r="C11" i="5" l="1"/>
  <c r="C19" i="5"/>
  <c r="C45" i="3"/>
  <c r="D11" i="5"/>
  <c r="D19" i="5"/>
  <c r="D45" i="3"/>
  <c r="B8" i="3"/>
  <c r="B13" i="3" s="1"/>
  <c r="C28" i="4"/>
  <c r="C29" i="4" s="1"/>
  <c r="B16" i="5" l="1"/>
  <c r="B23" i="3"/>
  <c r="B14" i="5"/>
  <c r="B15" i="5"/>
  <c r="D28" i="4"/>
  <c r="D29" i="4" s="1"/>
  <c r="D8" i="3" s="1"/>
  <c r="D13" i="3" s="1"/>
  <c r="C8" i="3"/>
  <c r="C13" i="3" s="1"/>
  <c r="B10" i="5" l="1"/>
  <c r="B24" i="5"/>
  <c r="B47" i="3"/>
  <c r="B20" i="5"/>
  <c r="D14" i="5"/>
  <c r="D23" i="3"/>
  <c r="D16" i="5"/>
  <c r="D15" i="5"/>
  <c r="C23" i="3"/>
  <c r="C16" i="5"/>
  <c r="C15" i="5"/>
  <c r="C14" i="5"/>
  <c r="D10" i="5" l="1"/>
  <c r="D20" i="5"/>
  <c r="D24" i="5"/>
  <c r="D47" i="3"/>
  <c r="C10" i="5"/>
  <c r="C20" i="5"/>
  <c r="C24" i="5"/>
  <c r="C4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2" authorId="0" shapeId="0" xr:uid="{00000000-0006-0000-0200-000001000000}">
      <text>
        <r>
          <rPr>
            <sz val="10"/>
            <rFont val="Arial"/>
            <family val="2"/>
          </rPr>
          <t>Year 1: enter beginning Retained Earnings balance (chosen here so the Year 1 Balance Check nets to zero with the other sample inputs — replace with your real figure).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300-000001000000}">
      <text>
        <r>
          <rPr>
            <sz val="10"/>
            <rFont val="Arial"/>
            <family val="2"/>
          </rPr>
          <t>Year 1 has no prior-period Balance Sheet to compare against, so this defaults to 0. Overwrite with the actual change once historical data is available.</t>
        </r>
      </text>
    </comment>
    <comment ref="B10" authorId="0" shapeId="0" xr:uid="{00000000-0006-0000-0300-000002000000}">
      <text>
        <r>
          <rPr>
            <sz val="10"/>
            <rFont val="Arial"/>
            <family val="2"/>
          </rPr>
          <t>Year 1 has no prior-period Balance Sheet to compare against, so this defaults to 0. Overwrite with the actual change once historical data is available.</t>
        </r>
      </text>
    </comment>
    <comment ref="B11" authorId="0" shapeId="0" xr:uid="{00000000-0006-0000-0300-000003000000}">
      <text>
        <r>
          <rPr>
            <sz val="10"/>
            <rFont val="Arial"/>
            <family val="2"/>
          </rPr>
          <t>Year 1 has no prior-period Balance Sheet to compare against, so this defaults to 0. Overwrite with the actual change once historical data is available.</t>
        </r>
      </text>
    </comment>
    <comment ref="B12" authorId="0" shapeId="0" xr:uid="{00000000-0006-0000-0300-000004000000}">
      <text>
        <r>
          <rPr>
            <sz val="10"/>
            <rFont val="Arial"/>
            <family val="2"/>
          </rPr>
          <t>Year 1 has no prior-period Balance Sheet to compare against, so this defaults to 0. Overwrite with the actual change once historical data is available.</t>
        </r>
      </text>
    </comment>
    <comment ref="B13" authorId="0" shapeId="0" xr:uid="{00000000-0006-0000-0300-000005000000}">
      <text>
        <r>
          <rPr>
            <sz val="10"/>
            <rFont val="Arial"/>
            <family val="2"/>
          </rPr>
          <t>Year 1 has no prior-period Balance Sheet to compare against, so this defaults to 0. Overwrite with the actual change once historical data is available.</t>
        </r>
      </text>
    </comment>
    <comment ref="B28" authorId="0" shapeId="0" xr:uid="{00000000-0006-0000-0300-000006000000}">
      <text>
        <r>
          <rPr>
            <sz val="10"/>
            <rFont val="Arial"/>
            <family val="2"/>
          </rPr>
          <t>Year 1: enter the actual starting cash balance.</t>
        </r>
      </text>
    </comment>
  </commentList>
</comments>
</file>

<file path=xl/sharedStrings.xml><?xml version="1.0" encoding="utf-8"?>
<sst xmlns="http://schemas.openxmlformats.org/spreadsheetml/2006/main" count="155" uniqueCount="154">
  <si>
    <t>3-Statement Financial Model Template</t>
  </si>
  <si>
    <t>Income Statement + Balance Sheet + Cash Flow Statement — fully linked, editable</t>
  </si>
  <si>
    <t>How this workbook is built</t>
  </si>
  <si>
    <t>Color code</t>
  </si>
  <si>
    <t xml:space="preserve">  Blue text on yellow fill</t>
  </si>
  <si>
    <t>A hardcoded input. Type over these numbers with your own figures.</t>
  </si>
  <si>
    <t xml:space="preserve">  Black text</t>
  </si>
  <si>
    <t>A formula. Do not overwrite — it recalculates automatically from inputs above/around it.</t>
  </si>
  <si>
    <t xml:space="preserve">  Green text</t>
  </si>
  <si>
    <t>A live link pulling a number from another sheet (e.g. Net Income flowing from the Income Statement into the Balance Sheet and Cash Flow Statement).</t>
  </si>
  <si>
    <t xml:space="preserve">  Red bold text</t>
  </si>
  <si>
    <t>A balance check. Should always read 0. If it doesn't, an input was changed in a way that breaks the link between statements.</t>
  </si>
  <si>
    <t>How the three statements connect</t>
  </si>
  <si>
    <t xml:space="preserve">  Income Statement -&gt; Balance Sheet</t>
  </si>
  <si>
    <t>Net Income flows into Retained Earnings; Depreciation &amp; Amortization flows into Cash Flow.</t>
  </si>
  <si>
    <t xml:space="preserve">  Income Statement -&gt; Cash Flow</t>
  </si>
  <si>
    <t>Net Income is the starting line of Cash Flow from Operations; D&amp;A is added back.</t>
  </si>
  <si>
    <t xml:space="preserve">  Balance Sheet -&gt; Cash Flow</t>
  </si>
  <si>
    <t>Year-over-year changes in Accounts Receivable, Inventory, Prepaid Expenses, Accounts Payable and Accrued Liabilities drive the working-capital lines.</t>
  </si>
  <si>
    <t xml:space="preserve">  Cash Flow -&gt; Balance Sheet</t>
  </si>
  <si>
    <t>Ending Cash Balance on the Cash Flow Statement is linked into the Cash line on the Balance Sheet.</t>
  </si>
  <si>
    <t>To edit</t>
  </si>
  <si>
    <t xml:space="preserve">  Change any blue input</t>
  </si>
  <si>
    <t>e.g. Sales Revenue, COGS, tax rate, Accounts Receivable, Capital Expenditures — every formula downstream recalculates automatically.</t>
  </si>
  <si>
    <t xml:space="preserve">  Add a period</t>
  </si>
  <si>
    <t>Insert a column, copy the formulas from the adjacent period column across, and update any year-over-year references.</t>
  </si>
  <si>
    <t xml:space="preserve">  Rename line items</t>
  </si>
  <si>
    <t>Just overwrite the label in column A; formulas reference cell addresses, not text, so this is safe.</t>
  </si>
  <si>
    <t>Notes / assumptions used in this template</t>
  </si>
  <si>
    <t xml:space="preserve">  Year 1 working-capital changes</t>
  </si>
  <si>
    <t>Set to 0 in the Cash Flow Statement because there is no prior-period Balance Sheet to compare against. Once you add real historical data, replace with the actual change.</t>
  </si>
  <si>
    <t xml:space="preserve">  Tax</t>
  </si>
  <si>
    <t>Calculated as Income Before Tax x an editable Tax Rate assumption, not a hardcoded tax expense.</t>
  </si>
  <si>
    <t xml:space="preserve">  PP&amp;E, Debt, Common Stock, Retained Earnings</t>
  </si>
  <si>
    <t>Roll forward automatically: Gross PP&amp;E moves with Capex, Accumulated Depreciation with D&amp;A, Long-term Debt with Debt Issued/(Repaid), Common Stock with Equity Issued, and Retained Earnings with Net Income and Dividends. Edit the Cash Flow Statement inputs, not these Balance Sheet cells, to change them.</t>
  </si>
  <si>
    <t xml:space="preserve">  Other Investing Activities</t>
  </si>
  <si>
    <t>Left at 0 by default because it has no matching Balance Sheet line in this template. If you use it, also adjust a Balance Sheet asset so the Balance Check stays at zero.</t>
  </si>
  <si>
    <t xml:space="preserve">  All figures</t>
  </si>
  <si>
    <t>Are illustrative placeholders — replace every yellow-highlighted cell with your own numbers before relying on this model.</t>
  </si>
  <si>
    <t>Ratio Analysis tab</t>
  </si>
  <si>
    <t xml:space="preserve">  What it does</t>
  </si>
  <si>
    <t>Evaluates all three statements together: profitability, liquidity, leverage, efficiency and cash flow ratios, each computed live from the Income Statement, Balance Sheet and Cash Flow Statement. Nothing to edit here — every cell is a green cross-sheet formula that updates automatically as you change inputs elsewhere.</t>
  </si>
  <si>
    <t>Income Statement</t>
  </si>
  <si>
    <t>($ in thousands) — edit blue/yellow cells; all totals are formulas</t>
  </si>
  <si>
    <t>Year 1</t>
  </si>
  <si>
    <t>Year 2</t>
  </si>
  <si>
    <t>Year 3</t>
  </si>
  <si>
    <t>Revenue</t>
  </si>
  <si>
    <t xml:space="preserve">  Sales Revenue</t>
  </si>
  <si>
    <t xml:space="preserve">  Other Revenue</t>
  </si>
  <si>
    <t>Total Revenue</t>
  </si>
  <si>
    <t xml:space="preserve">  Cost of Goods Sold</t>
  </si>
  <si>
    <t>Gross Profit</t>
  </si>
  <si>
    <t>Operating Expenses</t>
  </si>
  <si>
    <t xml:space="preserve">  Salaries &amp; Wages</t>
  </si>
  <si>
    <t xml:space="preserve">  Rent</t>
  </si>
  <si>
    <t xml:space="preserve">  Marketing</t>
  </si>
  <si>
    <t xml:space="preserve">  Utilities</t>
  </si>
  <si>
    <t xml:space="preserve">  Depreciation &amp; Amortization</t>
  </si>
  <si>
    <t xml:space="preserve">  Other Operating Expenses</t>
  </si>
  <si>
    <t>Total Operating Expenses</t>
  </si>
  <si>
    <t>Operating Income (EBIT)</t>
  </si>
  <si>
    <t>Other Income (Expense)</t>
  </si>
  <si>
    <t xml:space="preserve">  Interest Expense</t>
  </si>
  <si>
    <t xml:space="preserve">  Interest Income</t>
  </si>
  <si>
    <t>Total Other Income (Expense)</t>
  </si>
  <si>
    <t>Income Before Tax</t>
  </si>
  <si>
    <t xml:space="preserve">  Tax Rate (assumption)</t>
  </si>
  <si>
    <t>Income Tax Expense</t>
  </si>
  <si>
    <t>NET INCOME</t>
  </si>
  <si>
    <t>Balance Sheet</t>
  </si>
  <si>
    <t>($ in thousands) — Cash links from Cash Flow Statement; Retained Earnings links from Income Statement</t>
  </si>
  <si>
    <t>ASSETS</t>
  </si>
  <si>
    <t>Current Assets</t>
  </si>
  <si>
    <t>Cash &amp; Cash Equivalents</t>
  </si>
  <si>
    <t xml:space="preserve">  Accounts Receivable</t>
  </si>
  <si>
    <t xml:space="preserve">  Inventory</t>
  </si>
  <si>
    <t xml:space="preserve">  Prepaid Expenses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</si>
  <si>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</si>
  <si>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</si>
  <si>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</si>
  <si>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</si>
  <si>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</si>
  <si>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Net PP&amp;E</t>
  </si>
  <si>
    <t xml:space="preserve">  Intangible Assets</t>
  </si>
  <si>
    <t xml:space="preserve">  Other Long-term Assets</t>
  </si>
  <si>
    <t>Total Non-Current Assets</t>
  </si>
  <si>
    <t>TOTAL ASSETS</t>
  </si>
  <si>
    <t>LIABILITIES</t>
  </si>
  <si>
    <t>Current Liabilities</t>
  </si>
  <si>
    <t xml:space="preserve">  Accounts Payable</t>
  </si>
  <si>
    <t xml:space="preserve">  Accrued Liabilities</t>
  </si>
  <si>
    <t xml:space="preserve">  Short-term Debt</t>
  </si>
  <si>
    <t xml:space="preserve">  Other Current Liabilities</t>
  </si>
  <si>
    <t>Total Current Liabilities</t>
  </si>
  <si>
    <t>Long-term Liabilities</t>
  </si>
  <si>
    <t xml:space="preserve">  Long-term Debt</t>
  </si>
  <si>
    <t xml:space="preserve">  Other Long-term Liabilities</t>
  </si>
  <si>
    <t>Total Long-term Liabilities</t>
  </si>
  <si>
    <t>Total Liabilities</t>
  </si>
  <si>
    <t>EQUITY</t>
  </si>
  <si>
    <t xml:space="preserve">  Common Stock</t>
  </si>
  <si>
    <t xml:space="preserve">  Retained Earnings</t>
  </si>
  <si>
    <t>Total Equity</t>
  </si>
  <si>
    <t>TOTAL LIABILITIES &amp; EQUITY</t>
  </si>
  <si>
    <t>Balance Check (Assets - Liab&amp;Equity, should = 0)</t>
  </si>
  <si>
    <t>Cash Flow Statement</t>
  </si>
  <si>
    <t>($ in thousands) — Indirect method, fully linked to Income Statement and Balance Sheet</t>
  </si>
  <si>
    <t>Cash Flow from Operating Activities</t>
  </si>
  <si>
    <t>Net Income</t>
  </si>
  <si>
    <t>Add: Depreciation &amp; Amortization</t>
  </si>
  <si>
    <t xml:space="preserve">  (Increase) / Decrease in Accounts Receivable</t>
  </si>
  <si>
    <t xml:space="preserve">  (Increase) / Decrease in Inventory</t>
  </si>
  <si>
    <t xml:space="preserve">  (Increase) / Decrease in Prepaid Expenses</t>
  </si>
  <si>
    <t xml:space="preserve">  Increase / (Decrease) in Accounts Payable</t>
  </si>
  <si>
    <t xml:space="preserve">  Increase / (Decrease) in Accrued Liabilities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</si>
  <si>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</si>
  <si>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</si>
  <si>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</si>
  <si>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</si>
  <si>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</si>
  <si>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Debt Issued / (Repaid)</t>
  </si>
  <si>
    <t xml:space="preserve">  Equity Issued</t>
  </si>
  <si>
    <t xml:space="preserve">  Dividends Paid</t>
  </si>
  <si>
    <t>Net Cash from Financing Activities</t>
  </si>
  <si>
    <t>Net Increase / (Decrease) in Cash</t>
  </si>
  <si>
    <t>Beginning Cash Balance</t>
  </si>
  <si>
    <t>ENDING CASH BALANCE</t>
  </si>
  <si>
    <t>Ratio Analysis</t>
  </si>
  <si>
    <t>Every cell here is a live formula pulling from the Income Statement, Balance Sheet and Cash Flow Statement</t>
  </si>
  <si>
    <t>Profitability Ratios</t>
  </si>
  <si>
    <t xml:space="preserve">  Gross Profit Margin</t>
  </si>
  <si>
    <t xml:space="preserve">  Operating Margin (EBIT Margin)</t>
  </si>
  <si>
    <t xml:space="preserve">  Net Profit Margin</t>
  </si>
  <si>
    <t xml:space="preserve">  Return on Assets (ROA)</t>
  </si>
  <si>
    <t xml:space="preserve">  Return on Equity (ROE)</t>
  </si>
  <si>
    <t>Liquidity Ratios</t>
  </si>
  <si>
    <t xml:space="preserve">  Current Ratio</t>
  </si>
  <si>
    <t xml:space="preserve">  Quick Ratio</t>
  </si>
  <si>
    <t xml:space="preserve">  Working Capital ($)</t>
  </si>
  <si>
    <t>Leverage Ratios</t>
  </si>
  <si>
    <t xml:space="preserve">  Debt-to-Equity</t>
  </si>
  <si>
    <t xml:space="preserve">  Debt-to-Assets</t>
  </si>
  <si>
    <t xml:space="preserve">  Interest Coverage (EBIT / Interest Expense)</t>
  </si>
  <si>
    <t>Efficiency Ratios</t>
  </si>
  <si>
    <t xml:space="preserve">  Asset Turnover</t>
  </si>
  <si>
    <t xml:space="preserve">  Days Sales Outstanding (AR Days)</t>
  </si>
  <si>
    <t xml:space="preserve">  Days Inventory Outstanding</t>
  </si>
  <si>
    <t xml:space="preserve">  Days Payable Outstanding</t>
  </si>
  <si>
    <t>Cash Flow Ratios</t>
  </si>
  <si>
    <t xml:space="preserve">  Operating Cash Flow Margin</t>
  </si>
  <si>
    <t xml:space="preserve">  Free Cash Flow ($)</t>
  </si>
  <si>
    <t xml:space="preserve">  Free Cash Flow Margin</t>
  </si>
  <si>
    <t xml:space="preserve">  Cash Conversion (CFO / Net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</si>
</sst>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;\(0.0%\);\-"/>
    <numFmt numFmtId="166" formatCode="0.00\x"/>
    <numFmt numFmtId="167" formatCode="#,##0&quot; days&quot;"/>
  </numFmts>
  <fonts count="12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10"/>
      <color rgb="FF008000"/>
      <name val="Arial"/>
      <charset val="1"/>
    </font>
    <font>
      <b/>
      <sz val="10"/>
      <color rgb="FFC00000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  <fill>
      <patternFill patternType="solid">
        <fgColor rgb="FFD9E1F2"/>
        <bgColor rgb="FFF2F2F2"/>
      </patternFill>
    </fill>
    <fill>
      <patternFill patternType="solid">
        <fgColor rgb="FFFCE4E4"/>
        <b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164" fontId="6" fillId="3" borderId="0" xfId="0" applyNumberFormat="1" applyFont="1" applyFill="1"/>
    <xf numFmtId="0" fontId="7" fillId="4" borderId="2" xfId="0" applyFont="1" applyFill="1" applyBorder="1"/>
    <xf numFmtId="164" fontId="7" fillId="4" borderId="2" xfId="0" applyNumberFormat="1" applyFont="1" applyFill="1" applyBorder="1"/>
    <xf numFmtId="165" fontId="6" fillId="3" borderId="0" xfId="0" applyNumberFormat="1" applyFont="1" applyFill="1"/>
    <xf numFmtId="164" fontId="4" fillId="0" borderId="0" xfId="0" applyNumberFormat="1" applyFont="1"/>
    <xf numFmtId="0" fontId="7" fillId="4" borderId="3" xfId="0" applyFont="1" applyFill="1" applyBorder="1"/>
    <xf numFmtId="164" fontId="7" fillId="4" borderId="3" xfId="0" applyNumberFormat="1" applyFont="1" applyFill="1" applyBorder="1"/>
    <xf numFmtId="0" fontId="8" fillId="0" borderId="1" xfId="0" applyFont="1" applyBorder="1" applyAlignment="1">
      <alignment horizontal="center"/>
    </xf>
    <xf numFmtId="0" fontId="7" fillId="5" borderId="0" xfId="0" applyFont="1" applyFill="1"/>
    <xf numFmtId="0" fontId="0" fillId="5" borderId="0" xfId="0" applyFill="1"/>
    <xf numFmtId="164" fontId="9" fillId="0" borderId="0" xfId="0" applyNumberFormat="1" applyFont="1"/>
    <xf numFmtId="0" fontId="10" fillId="0" borderId="0" xfId="0" applyFont="1"/>
    <xf numFmtId="164" fontId="10" fillId="6" borderId="0" xfId="0" applyNumberFormat="1" applyFont="1" applyFill="1"/>
    <xf numFmtId="165" fontId="9" fillId="0" borderId="0" xfId="0" applyNumberFormat="1" applyFont="1"/>
    <xf numFmtId="166" fontId="9" fillId="0" borderId="0" xfId="0" applyNumberFormat="1" applyFont="1"/>
    <xf numFmtId="167" fontId="9" fillId="0" borderId="0" xfId="0" applyNumberFormat="1" applyFont="1"/>
    <xf numFmtId="0" fontId="7" fillId="0" borderId="0" xfId="0" applyFont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zoomScaleNormal="100" workbookViewId="0">
      <selection activeCell="O32" sqref="N32:O32"/>
    </sheetView>
  </sheetViews>
  <sheetFormatPr defaultColWidth="8.69140625" defaultRowHeight="14.6" x14ac:dyDescent="0.4"/>
  <cols>
    <col min="1" max="1" width="34" customWidth="1"/>
    <col min="2" max="2" width="100" customWidth="1"/>
  </cols>
  <sheetData>
    <row r="1" spans="1:2" ht="17.600000000000001" x14ac:dyDescent="0.4">
      <c r="A1" s="1" t="s">
        <v>0</v>
      </c>
    </row>
    <row r="2" spans="1:2" x14ac:dyDescent="0.4">
      <c r="A2" s="2" t="s">
        <v>1</v>
      </c>
    </row>
    <row r="4" spans="1:2" x14ac:dyDescent="0.4">
      <c r="A4" s="3" t="s">
        <v>2</v>
      </c>
      <c r="B4" s="4"/>
    </row>
    <row r="5" spans="1:2" x14ac:dyDescent="0.4">
      <c r="A5" s="3" t="s">
        <v>3</v>
      </c>
      <c r="B5" s="4"/>
    </row>
    <row r="6" spans="1:2" x14ac:dyDescent="0.4">
      <c r="A6" s="5" t="s">
        <v>4</v>
      </c>
      <c r="B6" s="6" t="s">
        <v>5</v>
      </c>
    </row>
    <row r="7" spans="1:2" x14ac:dyDescent="0.4">
      <c r="A7" s="5" t="s">
        <v>6</v>
      </c>
      <c r="B7" s="6" t="s">
        <v>7</v>
      </c>
    </row>
    <row r="8" spans="1:2" ht="24.9" x14ac:dyDescent="0.4">
      <c r="A8" s="5" t="s">
        <v>8</v>
      </c>
      <c r="B8" s="6" t="s">
        <v>9</v>
      </c>
    </row>
    <row r="9" spans="1:2" x14ac:dyDescent="0.4">
      <c r="A9" s="5" t="s">
        <v>10</v>
      </c>
      <c r="B9" s="6" t="s">
        <v>11</v>
      </c>
    </row>
    <row r="10" spans="1:2" x14ac:dyDescent="0.4">
      <c r="A10" s="5"/>
      <c r="B10" s="6"/>
    </row>
    <row r="11" spans="1:2" x14ac:dyDescent="0.4">
      <c r="A11" s="3" t="s">
        <v>12</v>
      </c>
      <c r="B11" s="4"/>
    </row>
    <row r="12" spans="1:2" x14ac:dyDescent="0.4">
      <c r="A12" s="5" t="s">
        <v>13</v>
      </c>
      <c r="B12" s="6" t="s">
        <v>14</v>
      </c>
    </row>
    <row r="13" spans="1:2" x14ac:dyDescent="0.4">
      <c r="A13" s="5" t="s">
        <v>15</v>
      </c>
      <c r="B13" s="6" t="s">
        <v>16</v>
      </c>
    </row>
    <row r="14" spans="1:2" ht="24.9" x14ac:dyDescent="0.4">
      <c r="A14" s="5" t="s">
        <v>17</v>
      </c>
      <c r="B14" s="6" t="s">
        <v>18</v>
      </c>
    </row>
    <row r="15" spans="1:2" x14ac:dyDescent="0.4">
      <c r="A15" s="5" t="s">
        <v>19</v>
      </c>
      <c r="B15" s="6" t="s">
        <v>20</v>
      </c>
    </row>
    <row r="16" spans="1:2" x14ac:dyDescent="0.4">
      <c r="A16" s="5"/>
      <c r="B16" s="6"/>
    </row>
    <row r="17" spans="1:2" x14ac:dyDescent="0.4">
      <c r="A17" s="3" t="s">
        <v>21</v>
      </c>
      <c r="B17" s="4"/>
    </row>
    <row r="18" spans="1:2" ht="24.9" x14ac:dyDescent="0.4">
      <c r="A18" s="5" t="s">
        <v>22</v>
      </c>
      <c r="B18" s="6" t="s">
        <v>23</v>
      </c>
    </row>
    <row r="19" spans="1:2" x14ac:dyDescent="0.4">
      <c r="A19" s="5" t="s">
        <v>24</v>
      </c>
      <c r="B19" s="6" t="s">
        <v>25</v>
      </c>
    </row>
    <row r="20" spans="1:2" x14ac:dyDescent="0.4">
      <c r="A20" s="5" t="s">
        <v>26</v>
      </c>
      <c r="B20" s="6" t="s">
        <v>27</v>
      </c>
    </row>
    <row r="21" spans="1:2" x14ac:dyDescent="0.4">
      <c r="A21" s="5"/>
      <c r="B21" s="6"/>
    </row>
    <row r="22" spans="1:2" x14ac:dyDescent="0.4">
      <c r="A22" s="3" t="s">
        <v>28</v>
      </c>
      <c r="B22" s="4"/>
    </row>
    <row r="23" spans="1:2" ht="24.9" x14ac:dyDescent="0.4">
      <c r="A23" s="5" t="s">
        <v>29</v>
      </c>
      <c r="B23" s="6" t="s">
        <v>30</v>
      </c>
    </row>
    <row r="24" spans="1:2" x14ac:dyDescent="0.4">
      <c r="A24" s="5" t="s">
        <v>31</v>
      </c>
      <c r="B24" s="6" t="s">
        <v>32</v>
      </c>
    </row>
    <row r="25" spans="1:2" ht="37.299999999999997" x14ac:dyDescent="0.4">
      <c r="A25" s="5" t="s">
        <v>33</v>
      </c>
      <c r="B25" s="6" t="s">
        <v>34</v>
      </c>
    </row>
    <row r="26" spans="1:2" ht="24.9" x14ac:dyDescent="0.4">
      <c r="A26" s="5" t="s">
        <v>35</v>
      </c>
      <c r="B26" s="6" t="s">
        <v>36</v>
      </c>
    </row>
    <row r="27" spans="1:2" x14ac:dyDescent="0.4">
      <c r="A27" s="5" t="s">
        <v>37</v>
      </c>
      <c r="B27" s="6" t="s">
        <v>38</v>
      </c>
    </row>
    <row r="28" spans="1:2" x14ac:dyDescent="0.4">
      <c r="A28" s="5"/>
      <c r="B28" s="6"/>
    </row>
    <row r="29" spans="1:2" x14ac:dyDescent="0.4">
      <c r="A29" s="3" t="s">
        <v>39</v>
      </c>
      <c r="B29" s="4"/>
    </row>
    <row r="30" spans="1:2" ht="37.299999999999997" x14ac:dyDescent="0.4">
      <c r="A30" s="5" t="s">
        <v>40</v>
      </c>
      <c r="B30" s="6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9140625" defaultRowHeight="14.6" x14ac:dyDescent="0.4"/>
  <cols>
    <col min="1" max="1" width="34" customWidth="1"/>
    <col min="2" max="4" width="16" customWidth="1"/>
  </cols>
  <sheetData>
    <row r="1" spans="1:4" ht="17.600000000000001" x14ac:dyDescent="0.4">
      <c r="A1" s="1" t="s">
        <v>42</v>
      </c>
    </row>
    <row r="2" spans="1:4" x14ac:dyDescent="0.4">
      <c r="A2" s="2" t="s">
        <v>43</v>
      </c>
    </row>
    <row r="4" spans="1:4" x14ac:dyDescent="0.4">
      <c r="A4" s="7"/>
      <c r="B4" s="8" t="s">
        <v>44</v>
      </c>
      <c r="C4" s="8" t="s">
        <v>45</v>
      </c>
      <c r="D4" s="8" t="s">
        <v>46</v>
      </c>
    </row>
    <row r="6" spans="1:4" ht="18" customHeight="1" x14ac:dyDescent="0.4">
      <c r="A6" s="3" t="s">
        <v>47</v>
      </c>
      <c r="B6" s="4"/>
      <c r="C6" s="4"/>
      <c r="D6" s="4"/>
    </row>
    <row r="7" spans="1:4" x14ac:dyDescent="0.4">
      <c r="A7" s="5" t="s">
        <v>48</v>
      </c>
      <c r="B7" s="9">
        <v>10000</v>
      </c>
      <c r="C7" s="9">
        <v>10000</v>
      </c>
      <c r="D7" s="9">
        <v>10000</v>
      </c>
    </row>
    <row r="8" spans="1:4" x14ac:dyDescent="0.4">
      <c r="A8" s="5" t="s">
        <v>49</v>
      </c>
      <c r="B8" s="9">
        <v>250</v>
      </c>
      <c r="C8" s="9">
        <v>250</v>
      </c>
      <c r="D8" s="9">
        <v>250</v>
      </c>
    </row>
    <row r="9" spans="1:4" x14ac:dyDescent="0.4">
      <c r="A9" s="10" t="s">
        <v>50</v>
      </c>
      <c r="B9" s="11">
        <f>SUM(B7:B8)</f>
        <v>10250</v>
      </c>
      <c r="C9" s="11">
        <f>SUM(C7:C8)</f>
        <v>10250</v>
      </c>
      <c r="D9" s="11">
        <f>SUM(D7:D8)</f>
        <v>10250</v>
      </c>
    </row>
    <row r="11" spans="1:4" x14ac:dyDescent="0.4">
      <c r="A11" s="5" t="s">
        <v>51</v>
      </c>
      <c r="B11" s="9">
        <v>4200</v>
      </c>
      <c r="C11" s="9">
        <v>4200</v>
      </c>
      <c r="D11" s="9">
        <v>4200</v>
      </c>
    </row>
    <row r="12" spans="1:4" x14ac:dyDescent="0.4">
      <c r="A12" s="10" t="s">
        <v>52</v>
      </c>
      <c r="B12" s="11">
        <f>B9-B11</f>
        <v>6050</v>
      </c>
      <c r="C12" s="11">
        <f>C9-C11</f>
        <v>6050</v>
      </c>
      <c r="D12" s="11">
        <f>D9-D11</f>
        <v>6050</v>
      </c>
    </row>
    <row r="14" spans="1:4" ht="18" customHeight="1" x14ac:dyDescent="0.4">
      <c r="A14" s="3" t="s">
        <v>53</v>
      </c>
      <c r="B14" s="4"/>
      <c r="C14" s="4"/>
      <c r="D14" s="4"/>
    </row>
    <row r="15" spans="1:4" x14ac:dyDescent="0.4">
      <c r="A15" s="5" t="s">
        <v>54</v>
      </c>
      <c r="B15" s="9">
        <v>2800</v>
      </c>
      <c r="C15" s="9">
        <v>2800</v>
      </c>
      <c r="D15" s="9">
        <v>2800</v>
      </c>
    </row>
    <row r="16" spans="1:4" x14ac:dyDescent="0.4">
      <c r="A16" s="5" t="s">
        <v>55</v>
      </c>
      <c r="B16" s="9">
        <v>600</v>
      </c>
      <c r="C16" s="9">
        <v>600</v>
      </c>
      <c r="D16" s="9">
        <v>600</v>
      </c>
    </row>
    <row r="17" spans="1:4" x14ac:dyDescent="0.4">
      <c r="A17" s="5" t="s">
        <v>56</v>
      </c>
      <c r="B17" s="9">
        <v>450</v>
      </c>
      <c r="C17" s="9">
        <v>450</v>
      </c>
      <c r="D17" s="9">
        <v>450</v>
      </c>
    </row>
    <row r="18" spans="1:4" x14ac:dyDescent="0.4">
      <c r="A18" s="5" t="s">
        <v>57</v>
      </c>
      <c r="B18" s="9">
        <v>180</v>
      </c>
      <c r="C18" s="9">
        <v>180</v>
      </c>
      <c r="D18" s="9">
        <v>180</v>
      </c>
    </row>
    <row r="19" spans="1:4" x14ac:dyDescent="0.4">
      <c r="A19" s="5" t="s">
        <v>58</v>
      </c>
      <c r="B19" s="9">
        <v>350</v>
      </c>
      <c r="C19" s="9">
        <v>350</v>
      </c>
      <c r="D19" s="9">
        <v>350</v>
      </c>
    </row>
    <row r="20" spans="1:4" x14ac:dyDescent="0.4">
      <c r="A20" s="5" t="s">
        <v>59</v>
      </c>
      <c r="B20" s="9">
        <v>320</v>
      </c>
      <c r="C20" s="9">
        <v>320</v>
      </c>
      <c r="D20" s="9">
        <v>320</v>
      </c>
    </row>
    <row r="21" spans="1:4" x14ac:dyDescent="0.4">
      <c r="A21" s="10" t="s">
        <v>60</v>
      </c>
      <c r="B21" s="11">
        <f>SUM(B15:B20)</f>
        <v>4700</v>
      </c>
      <c r="C21" s="11">
        <f>SUM(C15:C20)</f>
        <v>4700</v>
      </c>
      <c r="D21" s="11">
        <f>SUM(D15:D20)</f>
        <v>4700</v>
      </c>
    </row>
    <row r="23" spans="1:4" x14ac:dyDescent="0.4">
      <c r="A23" s="10" t="s">
        <v>61</v>
      </c>
      <c r="B23" s="11">
        <f>B12-B21</f>
        <v>1350</v>
      </c>
      <c r="C23" s="11">
        <f>C12-C21</f>
        <v>1350</v>
      </c>
      <c r="D23" s="11">
        <f>D12-D21</f>
        <v>1350</v>
      </c>
    </row>
    <row r="25" spans="1:4" ht="18" customHeight="1" x14ac:dyDescent="0.4">
      <c r="A25" s="3" t="s">
        <v>62</v>
      </c>
      <c r="B25" s="4"/>
      <c r="C25" s="4"/>
      <c r="D25" s="4"/>
    </row>
    <row r="26" spans="1:4" x14ac:dyDescent="0.4">
      <c r="A26" s="5" t="s">
        <v>63</v>
      </c>
      <c r="B26" s="9">
        <v>-150</v>
      </c>
      <c r="C26" s="9">
        <v>-150</v>
      </c>
      <c r="D26" s="9">
        <v>-150</v>
      </c>
    </row>
    <row r="27" spans="1:4" x14ac:dyDescent="0.4">
      <c r="A27" s="5" t="s">
        <v>64</v>
      </c>
      <c r="B27" s="9">
        <v>20</v>
      </c>
      <c r="C27" s="9">
        <v>20</v>
      </c>
      <c r="D27" s="9">
        <v>20</v>
      </c>
    </row>
    <row r="28" spans="1:4" x14ac:dyDescent="0.4">
      <c r="A28" s="10" t="s">
        <v>65</v>
      </c>
      <c r="B28" s="11">
        <f>SUM(B26:B27)</f>
        <v>-130</v>
      </c>
      <c r="C28" s="11">
        <f>SUM(C26:C27)</f>
        <v>-130</v>
      </c>
      <c r="D28" s="11">
        <f>SUM(D26:D27)</f>
        <v>-130</v>
      </c>
    </row>
    <row r="30" spans="1:4" x14ac:dyDescent="0.4">
      <c r="A30" s="10" t="s">
        <v>66</v>
      </c>
      <c r="B30" s="11">
        <f>B23+B28</f>
        <v>1220</v>
      </c>
      <c r="C30" s="11">
        <f>C23+C28</f>
        <v>1220</v>
      </c>
      <c r="D30" s="11">
        <f>D23+D28</f>
        <v>1220</v>
      </c>
    </row>
    <row r="31" spans="1:4" x14ac:dyDescent="0.4">
      <c r="A31" s="5" t="s">
        <v>67</v>
      </c>
      <c r="B31" s="12">
        <v>0.21</v>
      </c>
      <c r="C31" s="12">
        <v>0.21</v>
      </c>
      <c r="D31" s="12">
        <v>0.21</v>
      </c>
    </row>
    <row r="32" spans="1:4" x14ac:dyDescent="0.4">
      <c r="A32" s="5" t="s">
        <v>68</v>
      </c>
      <c r="B32" s="13">
        <f>B30*B31</f>
        <v>256.2</v>
      </c>
      <c r="C32" s="13">
        <f>C30*C31</f>
        <v>256.2</v>
      </c>
      <c r="D32" s="13">
        <f>D30*D31</f>
        <v>256.2</v>
      </c>
    </row>
    <row r="34" spans="1:4" x14ac:dyDescent="0.4">
      <c r="A34" s="14" t="s">
        <v>69</v>
      </c>
      <c r="B34" s="15">
        <f>B30-B32</f>
        <v>963.8</v>
      </c>
      <c r="C34" s="15">
        <f>C30-C32</f>
        <v>963.8</v>
      </c>
      <c r="D34" s="15">
        <f>D30-D32</f>
        <v>963.8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9140625" defaultRowHeight="14.6" x14ac:dyDescent="0.4"/>
  <cols>
    <col min="1" max="1" width="34" customWidth="1"/>
    <col min="2" max="4" width="16" customWidth="1"/>
  </cols>
  <sheetData>
    <row r="1" spans="1:4" ht="17.600000000000001" x14ac:dyDescent="0.4">
      <c r="A1" s="1" t="s">
        <v>70</v>
      </c>
    </row>
    <row r="2" spans="1:4" x14ac:dyDescent="0.4">
      <c r="A2" s="2" t="s">
        <v>71</v>
      </c>
    </row>
    <row r="4" spans="1:4" x14ac:dyDescent="0.4">
      <c r="A4" s="7"/>
      <c r="B4" s="16" t="str">
        <f>'Income Statement'!B4</f>
        <v>Year 1</v>
      </c>
      <c r="C4" s="16" t="str">
        <f>'Income Statement'!C4</f>
        <v>Year 2</v>
      </c>
      <c r="D4" s="16" t="str">
        <f>'Income Statement'!D4</f>
        <v>Year 3</v>
      </c>
    </row>
    <row r="6" spans="1:4" ht="18" customHeight="1" x14ac:dyDescent="0.4">
      <c r="A6" s="3" t="s">
        <v>72</v>
      </c>
      <c r="B6" s="4"/>
      <c r="C6" s="4"/>
      <c r="D6" s="4"/>
    </row>
    <row r="7" spans="1:4" x14ac:dyDescent="0.4">
      <c r="A7" s="17" t="s">
        <v>73</v>
      </c>
      <c r="B7" s="18"/>
      <c r="C7" s="18"/>
      <c r="D7" s="18"/>
    </row>
    <row r="8" spans="1:4" x14ac:dyDescent="0.4">
      <c r="A8" s="5" t="s">
        <v>74</v>
      </c>
      <c r="B8" s="19">
        <f>'Cash Flow Statement'!B29</f>
        <v>1113.8</v>
      </c>
      <c r="C8" s="19">
        <f>'Cash Flow Statement'!C29</f>
        <v>1427.6</v>
      </c>
      <c r="D8" s="19">
        <f>'Cash Flow Statement'!D29</f>
        <v>1741.3999999999999</v>
      </c>
    </row>
    <row r="9" spans="1:4" x14ac:dyDescent="0.4">
      <c r="A9" s="5" t="s">
        <v>75</v>
      </c>
      <c r="B9" s="9">
        <v>1400</v>
      </c>
      <c r="C9" s="9">
        <v>1400</v>
      </c>
      <c r="D9" s="9">
        <v>1400</v>
      </c>
    </row>
    <row r="10" spans="1:4" x14ac:dyDescent="0.4">
      <c r="A10" s="5" t="s">
        <v>76</v>
      </c>
      <c r="B10" s="9">
        <v>1100</v>
      </c>
      <c r="C10" s="9">
        <v>1100</v>
      </c>
      <c r="D10" s="9">
        <v>1100</v>
      </c>
    </row>
    <row r="11" spans="1:4" x14ac:dyDescent="0.4">
      <c r="A11" s="5" t="s">
        <v>77</v>
      </c>
      <c r="B11" s="9">
        <v>150</v>
      </c>
      <c r="C11" s="9">
        <v>150</v>
      </c>
      <c r="D11" s="9">
        <v>150</v>
      </c>
    </row>
    <row r="12" spans="1:4" x14ac:dyDescent="0.4">
      <c r="A12" s="5" t="s">
        <v>78</v>
      </c>
      <c r="B12" s="9">
        <v>200</v>
      </c>
      <c r="C12" s="9">
        <v>200</v>
      </c>
      <c r="D12" s="9">
        <v>200</v>
      </c>
    </row>
    <row r="13" spans="1:4" x14ac:dyDescent="0.4">
      <c r="A13" s="10" t="s">
        <v>79</v>
      </c>
      <c r="B13" s="11">
        <f>SUM(B8:B12)</f>
        <v>3963.8</v>
      </c>
      <c r="C13" s="11">
        <f>SUM(C8:C12)</f>
        <v>4277.6000000000004</v>
      </c>
      <c r="D13" s="11">
        <f>SUM(D8:D12)</f>
        <v>4591.3999999999996</v>
      </c>
    </row>
    <row r="15" spans="1:4" x14ac:dyDescent="0.4">
      <c r="A15" s="17" t="s">
        <v>80</v>
      </c>
      <c r="B15" s="18"/>
      <c r="C15" s="18"/>
      <c r="D15" s="18"/>
    </row>
    <row r="16" spans="1:4" x14ac:dyDescent="0.4">
      <c r="A16" s="5" t="s">
        <v>81</v>
      </c>
      <c r="B16" s="9">
        <v>6000</v>
      </c>
      <c r="C16" s="19">
        <f>B16-'Cash Flow Statement'!C17</f>
        <v>6500</v>
      </c>
      <c r="D16" s="19">
        <f>C16-'Cash Flow Statement'!D17</f>
        <v>7000</v>
      </c>
    </row>
    <row r="17" spans="1:4" x14ac:dyDescent="0.4">
      <c r="A17" s="5" t="s">
        <v>82</v>
      </c>
      <c r="B17" s="9">
        <v>-1200</v>
      </c>
      <c r="C17" s="19">
        <f>B17-'Income Statement'!C19</f>
        <v>-1550</v>
      </c>
      <c r="D17" s="19">
        <f>C17-'Income Statement'!D19</f>
        <v>-1900</v>
      </c>
    </row>
    <row r="18" spans="1:4" x14ac:dyDescent="0.4">
      <c r="A18" s="5" t="s">
        <v>83</v>
      </c>
      <c r="B18" s="13">
        <f>B16+B17</f>
        <v>4800</v>
      </c>
      <c r="C18" s="13">
        <f>C16+C17</f>
        <v>4950</v>
      </c>
      <c r="D18" s="13">
        <f>D16+D17</f>
        <v>5100</v>
      </c>
    </row>
    <row r="19" spans="1:4" x14ac:dyDescent="0.4">
      <c r="A19" s="5" t="s">
        <v>84</v>
      </c>
      <c r="B19" s="9">
        <v>500</v>
      </c>
      <c r="C19" s="9">
        <v>500</v>
      </c>
      <c r="D19" s="9">
        <v>500</v>
      </c>
    </row>
    <row r="20" spans="1:4" x14ac:dyDescent="0.4">
      <c r="A20" s="5" t="s">
        <v>85</v>
      </c>
      <c r="B20" s="9">
        <v>100</v>
      </c>
      <c r="C20" s="9">
        <v>100</v>
      </c>
      <c r="D20" s="9">
        <v>100</v>
      </c>
    </row>
    <row r="21" spans="1:4" x14ac:dyDescent="0.4">
      <c r="A21" s="10" t="s">
        <v>86</v>
      </c>
      <c r="B21" s="11">
        <f>B18+B19+B20</f>
        <v>5400</v>
      </c>
      <c r="C21" s="11">
        <f>C18+C19+C20</f>
        <v>5550</v>
      </c>
      <c r="D21" s="11">
        <f>D18+D19+D20</f>
        <v>5700</v>
      </c>
    </row>
    <row r="23" spans="1:4" x14ac:dyDescent="0.4">
      <c r="A23" s="14" t="s">
        <v>87</v>
      </c>
      <c r="B23" s="15">
        <f>B13+B21</f>
        <v>9363.7999999999993</v>
      </c>
      <c r="C23" s="15">
        <f>C13+C21</f>
        <v>9827.6</v>
      </c>
      <c r="D23" s="15">
        <f>D13+D21</f>
        <v>10291.4</v>
      </c>
    </row>
    <row r="25" spans="1:4" ht="18" customHeight="1" x14ac:dyDescent="0.4">
      <c r="A25" s="3" t="s">
        <v>88</v>
      </c>
      <c r="B25" s="4"/>
      <c r="C25" s="4"/>
      <c r="D25" s="4"/>
    </row>
    <row r="26" spans="1:4" x14ac:dyDescent="0.4">
      <c r="A26" s="17" t="s">
        <v>89</v>
      </c>
      <c r="B26" s="18"/>
      <c r="C26" s="18"/>
      <c r="D26" s="18"/>
    </row>
    <row r="27" spans="1:4" x14ac:dyDescent="0.4">
      <c r="A27" s="5" t="s">
        <v>90</v>
      </c>
      <c r="B27" s="9">
        <v>900</v>
      </c>
      <c r="C27" s="9">
        <v>900</v>
      </c>
      <c r="D27" s="9">
        <v>900</v>
      </c>
    </row>
    <row r="28" spans="1:4" x14ac:dyDescent="0.4">
      <c r="A28" s="5" t="s">
        <v>91</v>
      </c>
      <c r="B28" s="9">
        <v>350</v>
      </c>
      <c r="C28" s="9">
        <v>350</v>
      </c>
      <c r="D28" s="9">
        <v>350</v>
      </c>
    </row>
    <row r="29" spans="1:4" x14ac:dyDescent="0.4">
      <c r="A29" s="5" t="s">
        <v>92</v>
      </c>
      <c r="B29" s="9">
        <v>500</v>
      </c>
      <c r="C29" s="9">
        <v>500</v>
      </c>
      <c r="D29" s="9">
        <v>500</v>
      </c>
    </row>
    <row r="30" spans="1:4" x14ac:dyDescent="0.4">
      <c r="A30" s="5" t="s">
        <v>93</v>
      </c>
      <c r="B30" s="9">
        <v>150</v>
      </c>
      <c r="C30" s="9">
        <v>150</v>
      </c>
      <c r="D30" s="9">
        <v>150</v>
      </c>
    </row>
    <row r="31" spans="1:4" x14ac:dyDescent="0.4">
      <c r="A31" s="10" t="s">
        <v>94</v>
      </c>
      <c r="B31" s="11">
        <f>SUM(B27:B30)</f>
        <v>1900</v>
      </c>
      <c r="C31" s="11">
        <f>SUM(C27:C30)</f>
        <v>1900</v>
      </c>
      <c r="D31" s="11">
        <f>SUM(D27:D30)</f>
        <v>1900</v>
      </c>
    </row>
    <row r="33" spans="1:4" x14ac:dyDescent="0.4">
      <c r="A33" s="17" t="s">
        <v>95</v>
      </c>
      <c r="B33" s="18"/>
      <c r="C33" s="18"/>
      <c r="D33" s="18"/>
    </row>
    <row r="34" spans="1:4" x14ac:dyDescent="0.4">
      <c r="A34" s="5" t="s">
        <v>96</v>
      </c>
      <c r="B34" s="9">
        <v>2500</v>
      </c>
      <c r="C34" s="19">
        <f>B34+'Cash Flow Statement'!C22</f>
        <v>2300</v>
      </c>
      <c r="D34" s="19">
        <f>C34+'Cash Flow Statement'!D22</f>
        <v>2100</v>
      </c>
    </row>
    <row r="35" spans="1:4" x14ac:dyDescent="0.4">
      <c r="A35" s="5" t="s">
        <v>97</v>
      </c>
      <c r="B35" s="9">
        <v>200</v>
      </c>
      <c r="C35" s="9">
        <v>200</v>
      </c>
      <c r="D35" s="9">
        <v>200</v>
      </c>
    </row>
    <row r="36" spans="1:4" x14ac:dyDescent="0.4">
      <c r="A36" s="10" t="s">
        <v>98</v>
      </c>
      <c r="B36" s="11">
        <f>SUM(B34:B35)</f>
        <v>2700</v>
      </c>
      <c r="C36" s="11">
        <f>SUM(C34:C35)</f>
        <v>2500</v>
      </c>
      <c r="D36" s="11">
        <f>SUM(D34:D35)</f>
        <v>2300</v>
      </c>
    </row>
    <row r="38" spans="1:4" x14ac:dyDescent="0.4">
      <c r="A38" s="10" t="s">
        <v>99</v>
      </c>
      <c r="B38" s="11">
        <f>B31+B36</f>
        <v>4600</v>
      </c>
      <c r="C38" s="11">
        <f>C31+C36</f>
        <v>4400</v>
      </c>
      <c r="D38" s="11">
        <f>D31+D36</f>
        <v>4200</v>
      </c>
    </row>
    <row r="40" spans="1:4" ht="18" customHeight="1" x14ac:dyDescent="0.4">
      <c r="A40" s="3" t="s">
        <v>100</v>
      </c>
      <c r="B40" s="4"/>
      <c r="C40" s="4"/>
      <c r="D40" s="4"/>
    </row>
    <row r="41" spans="1:4" x14ac:dyDescent="0.4">
      <c r="A41" s="5" t="s">
        <v>101</v>
      </c>
      <c r="B41" s="9">
        <v>3000</v>
      </c>
      <c r="C41" s="19">
        <f>B41+'Cash Flow Statement'!C23</f>
        <v>3000</v>
      </c>
      <c r="D41" s="19">
        <f>C41+'Cash Flow Statement'!D23</f>
        <v>3000</v>
      </c>
    </row>
    <row r="42" spans="1:4" x14ac:dyDescent="0.4">
      <c r="A42" s="5" t="s">
        <v>102</v>
      </c>
      <c r="B42" s="9">
        <v>1763.8</v>
      </c>
      <c r="C42" s="19">
        <f>B42+'Income Statement'!C34+'Cash Flow Statement'!C24</f>
        <v>2427.6</v>
      </c>
      <c r="D42" s="19">
        <f>C42+'Income Statement'!D34+'Cash Flow Statement'!D24</f>
        <v>3091.3999999999996</v>
      </c>
    </row>
    <row r="43" spans="1:4" x14ac:dyDescent="0.4">
      <c r="A43" s="10" t="s">
        <v>103</v>
      </c>
      <c r="B43" s="11">
        <f>B41+B42</f>
        <v>4763.8</v>
      </c>
      <c r="C43" s="11">
        <f>C41+C42</f>
        <v>5427.6</v>
      </c>
      <c r="D43" s="11">
        <f>D41+D42</f>
        <v>6091.4</v>
      </c>
    </row>
    <row r="45" spans="1:4" x14ac:dyDescent="0.4">
      <c r="A45" s="14" t="s">
        <v>104</v>
      </c>
      <c r="B45" s="15">
        <f>B38+B43</f>
        <v>9363.7999999999993</v>
      </c>
      <c r="C45" s="15">
        <f>C38+C43</f>
        <v>9827.6</v>
      </c>
      <c r="D45" s="15">
        <f>D38+D43</f>
        <v>10291.4</v>
      </c>
    </row>
    <row r="47" spans="1:4" x14ac:dyDescent="0.4">
      <c r="A47" s="20" t="s">
        <v>105</v>
      </c>
      <c r="B47" s="21">
        <f>B23-B45</f>
        <v>0</v>
      </c>
      <c r="C47" s="21">
        <f>C23-C45</f>
        <v>0</v>
      </c>
      <c r="D47" s="21">
        <f>D23-D45</f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9140625" defaultRowHeight="14.6" x14ac:dyDescent="0.4"/>
  <cols>
    <col min="1" max="1" width="34" customWidth="1"/>
    <col min="2" max="4" width="16" customWidth="1"/>
  </cols>
  <sheetData>
    <row r="1" spans="1:4" ht="17.600000000000001" x14ac:dyDescent="0.4">
      <c r="A1" s="1" t="s">
        <v>106</v>
      </c>
    </row>
    <row r="2" spans="1:4" x14ac:dyDescent="0.4">
      <c r="A2" s="2" t="s">
        <v>107</v>
      </c>
    </row>
    <row r="4" spans="1:4" x14ac:dyDescent="0.4">
      <c r="A4" s="7"/>
      <c r="B4" s="16" t="str">
        <f>'Income Statement'!B4</f>
        <v>Year 1</v>
      </c>
      <c r="C4" s="16" t="str">
        <f>'Income Statement'!C4</f>
        <v>Year 2</v>
      </c>
      <c r="D4" s="16" t="str">
        <f>'Income Statement'!D4</f>
        <v>Year 3</v>
      </c>
    </row>
    <row r="6" spans="1:4" ht="18" customHeight="1" x14ac:dyDescent="0.4">
      <c r="A6" s="3" t="s">
        <v>108</v>
      </c>
      <c r="B6" s="4"/>
      <c r="C6" s="4"/>
      <c r="D6" s="4"/>
    </row>
    <row r="7" spans="1:4" x14ac:dyDescent="0.4">
      <c r="A7" s="5" t="s">
        <v>109</v>
      </c>
      <c r="B7" s="19">
        <f>'Income Statement'!B34</f>
        <v>963.8</v>
      </c>
      <c r="C7" s="19">
        <f>'Income Statement'!C34</f>
        <v>963.8</v>
      </c>
      <c r="D7" s="19">
        <f>'Income Statement'!D34</f>
        <v>963.8</v>
      </c>
    </row>
    <row r="8" spans="1:4" x14ac:dyDescent="0.4">
      <c r="A8" s="5" t="s">
        <v>110</v>
      </c>
      <c r="B8" s="19">
        <f>'Income Statement'!B19</f>
        <v>350</v>
      </c>
      <c r="C8" s="19">
        <f>'Income Statement'!C19</f>
        <v>350</v>
      </c>
      <c r="D8" s="19">
        <f>'Income Statement'!D19</f>
        <v>350</v>
      </c>
    </row>
    <row r="9" spans="1:4" x14ac:dyDescent="0.4">
      <c r="A9" s="5" t="s">
        <v>111</v>
      </c>
      <c r="B9" s="9">
        <v>0</v>
      </c>
      <c r="C9" s="19">
        <f>-('Balance Sheet'!C9-'Balance Sheet'!B9)</f>
        <v>0</v>
      </c>
      <c r="D9" s="19">
        <f>-('Balance Sheet'!D9-'Balance Sheet'!C9)</f>
        <v>0</v>
      </c>
    </row>
    <row r="10" spans="1:4" x14ac:dyDescent="0.4">
      <c r="A10" s="5" t="s">
        <v>112</v>
      </c>
      <c r="B10" s="9">
        <v>0</v>
      </c>
      <c r="C10" s="19">
        <f>-('Balance Sheet'!C10-'Balance Sheet'!B10)</f>
        <v>0</v>
      </c>
      <c r="D10" s="19">
        <f>-('Balance Sheet'!D10-'Balance Sheet'!C10)</f>
        <v>0</v>
      </c>
    </row>
    <row r="11" spans="1:4" x14ac:dyDescent="0.4">
      <c r="A11" s="5" t="s">
        <v>113</v>
      </c>
      <c r="B11" s="9">
        <v>0</v>
      </c>
      <c r="C11" s="19">
        <f>-('Balance Sheet'!C11-'Balance Sheet'!B11)</f>
        <v>0</v>
      </c>
      <c r="D11" s="19">
        <f>-('Balance Sheet'!D11-'Balance Sheet'!C11)</f>
        <v>0</v>
      </c>
    </row>
    <row r="12" spans="1:4" x14ac:dyDescent="0.4">
      <c r="A12" s="5" t="s">
        <v>114</v>
      </c>
      <c r="B12" s="9">
        <v>0</v>
      </c>
      <c r="C12" s="19">
        <f>'Balance Sheet'!C27-'Balance Sheet'!B27</f>
        <v>0</v>
      </c>
      <c r="D12" s="19">
        <f>'Balance Sheet'!D27-'Balance Sheet'!C27</f>
        <v>0</v>
      </c>
    </row>
    <row r="13" spans="1:4" x14ac:dyDescent="0.4">
      <c r="A13" s="5" t="s">
        <v>115</v>
      </c>
      <c r="B13" s="9">
        <v>0</v>
      </c>
      <c r="C13" s="19">
        <f>'Balance Sheet'!C28-'Balance Sheet'!B28</f>
        <v>0</v>
      </c>
      <c r="D13" s="19">
        <f>'Balance Sheet'!D28-'Balance Sheet'!C28</f>
        <v>0</v>
      </c>
    </row>
    <row r="14" spans="1:4" x14ac:dyDescent="0.4">
      <c r="A14" s="10" t="s">
        <v>116</v>
      </c>
      <c r="B14" s="11">
        <f>SUM(B7:B13)</f>
        <v>1313.8</v>
      </c>
      <c r="C14" s="11">
        <f>SUM(C7:C13)</f>
        <v>1313.8</v>
      </c>
      <c r="D14" s="11">
        <f>SUM(D7:D13)</f>
        <v>1313.8</v>
      </c>
    </row>
    <row r="16" spans="1:4" ht="18" customHeight="1" x14ac:dyDescent="0.4">
      <c r="A16" s="3" t="s">
        <v>117</v>
      </c>
      <c r="B16" s="4"/>
      <c r="C16" s="4"/>
      <c r="D16" s="4"/>
    </row>
    <row r="17" spans="1:4" x14ac:dyDescent="0.4">
      <c r="A17" s="5" t="s">
        <v>118</v>
      </c>
      <c r="B17" s="9">
        <v>-500</v>
      </c>
      <c r="C17" s="9">
        <v>-500</v>
      </c>
      <c r="D17" s="9">
        <v>-500</v>
      </c>
    </row>
    <row r="18" spans="1:4" x14ac:dyDescent="0.4">
      <c r="A18" s="5" t="s">
        <v>35</v>
      </c>
      <c r="B18" s="9">
        <v>0</v>
      </c>
      <c r="C18" s="9">
        <v>0</v>
      </c>
      <c r="D18" s="9">
        <v>0</v>
      </c>
    </row>
    <row r="19" spans="1:4" x14ac:dyDescent="0.4">
      <c r="A19" s="10" t="s">
        <v>119</v>
      </c>
      <c r="B19" s="11">
        <f>SUM(B17:B18)</f>
        <v>-500</v>
      </c>
      <c r="C19" s="11">
        <f>SUM(C17:C18)</f>
        <v>-500</v>
      </c>
      <c r="D19" s="11">
        <f>SUM(D17:D18)</f>
        <v>-500</v>
      </c>
    </row>
    <row r="21" spans="1:4" ht="18" customHeight="1" x14ac:dyDescent="0.4">
      <c r="A21" s="3" t="s">
        <v>120</v>
      </c>
      <c r="B21" s="4"/>
      <c r="C21" s="4"/>
      <c r="D21" s="4"/>
    </row>
    <row r="22" spans="1:4" x14ac:dyDescent="0.4">
      <c r="A22" s="5" t="s">
        <v>121</v>
      </c>
      <c r="B22" s="9">
        <v>-200</v>
      </c>
      <c r="C22" s="9">
        <v>-200</v>
      </c>
      <c r="D22" s="9">
        <v>-200</v>
      </c>
    </row>
    <row r="23" spans="1:4" x14ac:dyDescent="0.4">
      <c r="A23" s="5" t="s">
        <v>122</v>
      </c>
      <c r="B23" s="9">
        <v>0</v>
      </c>
      <c r="C23" s="9">
        <v>0</v>
      </c>
      <c r="D23" s="9">
        <v>0</v>
      </c>
    </row>
    <row r="24" spans="1:4" x14ac:dyDescent="0.4">
      <c r="A24" s="5" t="s">
        <v>123</v>
      </c>
      <c r="B24" s="9">
        <v>-300</v>
      </c>
      <c r="C24" s="9">
        <v>-300</v>
      </c>
      <c r="D24" s="9">
        <v>-300</v>
      </c>
    </row>
    <row r="25" spans="1:4" x14ac:dyDescent="0.4">
      <c r="A25" s="10" t="s">
        <v>124</v>
      </c>
      <c r="B25" s="11">
        <f>SUM(B22:B24)</f>
        <v>-500</v>
      </c>
      <c r="C25" s="11">
        <f>SUM(C22:C24)</f>
        <v>-500</v>
      </c>
      <c r="D25" s="11">
        <f>SUM(D22:D24)</f>
        <v>-500</v>
      </c>
    </row>
    <row r="27" spans="1:4" x14ac:dyDescent="0.4">
      <c r="A27" s="10" t="s">
        <v>125</v>
      </c>
      <c r="B27" s="11">
        <f>B14+B19+B25</f>
        <v>313.79999999999995</v>
      </c>
      <c r="C27" s="11">
        <f>C14+C19+C25</f>
        <v>313.79999999999995</v>
      </c>
      <c r="D27" s="11">
        <f>D14+D19+D25</f>
        <v>313.79999999999995</v>
      </c>
    </row>
    <row r="28" spans="1:4" x14ac:dyDescent="0.4">
      <c r="A28" s="5" t="s">
        <v>126</v>
      </c>
      <c r="B28" s="9">
        <v>800</v>
      </c>
      <c r="C28" s="13">
        <f>B29</f>
        <v>1113.8</v>
      </c>
      <c r="D28" s="13">
        <f>C29</f>
        <v>1427.6</v>
      </c>
    </row>
    <row r="29" spans="1:4" x14ac:dyDescent="0.4">
      <c r="A29" s="14" t="s">
        <v>127</v>
      </c>
      <c r="B29" s="15">
        <f>B27+B28</f>
        <v>1113.8</v>
      </c>
      <c r="C29" s="15">
        <f>C27+C28</f>
        <v>1427.6</v>
      </c>
      <c r="D29" s="15">
        <f>D27+D28</f>
        <v>1741.3999999999999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30" sqref="N30"/>
    </sheetView>
  </sheetViews>
  <sheetFormatPr defaultColWidth="8.69140625" defaultRowHeight="14.6" x14ac:dyDescent="0.4"/>
  <cols>
    <col min="1" max="1" width="34" customWidth="1"/>
    <col min="2" max="4" width="16" customWidth="1"/>
  </cols>
  <sheetData>
    <row r="1" spans="1:4" ht="17.600000000000001" x14ac:dyDescent="0.4">
      <c r="A1" s="1" t="s">
        <v>128</v>
      </c>
    </row>
    <row r="2" spans="1:4" x14ac:dyDescent="0.4">
      <c r="A2" s="2" t="s">
        <v>129</v>
      </c>
    </row>
    <row r="4" spans="1:4" x14ac:dyDescent="0.4">
      <c r="A4" s="7"/>
      <c r="B4" s="16" t="str">
        <f>'Income Statement'!B4</f>
        <v>Year 1</v>
      </c>
      <c r="C4" s="16" t="str">
        <f>'Income Statement'!C4</f>
        <v>Year 2</v>
      </c>
      <c r="D4" s="16" t="str">
        <f>'Income Statement'!D4</f>
        <v>Year 3</v>
      </c>
    </row>
    <row r="6" spans="1:4" ht="18" customHeight="1" x14ac:dyDescent="0.4">
      <c r="A6" s="3" t="s">
        <v>130</v>
      </c>
      <c r="B6" s="4"/>
      <c r="C6" s="4"/>
      <c r="D6" s="4"/>
    </row>
    <row r="7" spans="1:4" x14ac:dyDescent="0.4">
      <c r="A7" s="5" t="s">
        <v>131</v>
      </c>
      <c r="B7" s="22">
        <f>'Income Statement'!B12/'Income Statement'!B9</f>
        <v>0.59024390243902436</v>
      </c>
      <c r="C7" s="22">
        <f>'Income Statement'!C12/'Income Statement'!C9</f>
        <v>0.59024390243902436</v>
      </c>
      <c r="D7" s="22">
        <f>'Income Statement'!D12/'Income Statement'!D9</f>
        <v>0.59024390243902436</v>
      </c>
    </row>
    <row r="8" spans="1:4" x14ac:dyDescent="0.4">
      <c r="A8" s="5" t="s">
        <v>132</v>
      </c>
      <c r="B8" s="22">
        <f>'Income Statement'!B23/'Income Statement'!B9</f>
        <v>0.13170731707317074</v>
      </c>
      <c r="C8" s="22">
        <f>'Income Statement'!C23/'Income Statement'!C9</f>
        <v>0.13170731707317074</v>
      </c>
      <c r="D8" s="22">
        <f>'Income Statement'!D23/'Income Statement'!D9</f>
        <v>0.13170731707317074</v>
      </c>
    </row>
    <row r="9" spans="1:4" x14ac:dyDescent="0.4">
      <c r="A9" s="5" t="s">
        <v>133</v>
      </c>
      <c r="B9" s="22">
        <f>'Income Statement'!B34/'Income Statement'!B9</f>
        <v>9.4029268292682919E-2</v>
      </c>
      <c r="C9" s="22">
        <f>'Income Statement'!C34/'Income Statement'!C9</f>
        <v>9.4029268292682919E-2</v>
      </c>
      <c r="D9" s="22">
        <f>'Income Statement'!D34/'Income Statement'!D9</f>
        <v>9.4029268292682919E-2</v>
      </c>
    </row>
    <row r="10" spans="1:4" x14ac:dyDescent="0.4">
      <c r="A10" s="5" t="s">
        <v>134</v>
      </c>
      <c r="B10" s="22">
        <f>'Income Statement'!B34/'Balance Sheet'!B23</f>
        <v>0.10292829834041735</v>
      </c>
      <c r="C10" s="22">
        <f>'Income Statement'!C34/'Balance Sheet'!C23</f>
        <v>9.807073954983922E-2</v>
      </c>
      <c r="D10" s="22">
        <f>'Income Statement'!D34/'Balance Sheet'!D23</f>
        <v>9.3651009580815042E-2</v>
      </c>
    </row>
    <row r="11" spans="1:4" x14ac:dyDescent="0.4">
      <c r="A11" s="5" t="s">
        <v>135</v>
      </c>
      <c r="B11" s="22">
        <f>'Income Statement'!B34/'Balance Sheet'!B43</f>
        <v>0.20231747764389771</v>
      </c>
      <c r="C11" s="22">
        <f>'Income Statement'!C34/'Balance Sheet'!C43</f>
        <v>0.17757388164197802</v>
      </c>
      <c r="D11" s="22">
        <f>'Income Statement'!D34/'Balance Sheet'!D43</f>
        <v>0.15822306858850183</v>
      </c>
    </row>
    <row r="13" spans="1:4" ht="18" customHeight="1" x14ac:dyDescent="0.4">
      <c r="A13" s="3" t="s">
        <v>136</v>
      </c>
      <c r="B13" s="4"/>
      <c r="C13" s="4"/>
      <c r="D13" s="4"/>
    </row>
    <row r="14" spans="1:4" x14ac:dyDescent="0.4">
      <c r="A14" s="5" t="s">
        <v>137</v>
      </c>
      <c r="B14" s="23">
        <f>'Balance Sheet'!B13/'Balance Sheet'!B31</f>
        <v>2.0862105263157895</v>
      </c>
      <c r="C14" s="23">
        <f>'Balance Sheet'!C13/'Balance Sheet'!C31</f>
        <v>2.2513684210526317</v>
      </c>
      <c r="D14" s="23">
        <f>'Balance Sheet'!D13/'Balance Sheet'!D31</f>
        <v>2.4165263157894734</v>
      </c>
    </row>
    <row r="15" spans="1:4" x14ac:dyDescent="0.4">
      <c r="A15" s="5" t="s">
        <v>138</v>
      </c>
      <c r="B15" s="23">
        <f>('Balance Sheet'!B13-'Balance Sheet'!B10)/'Balance Sheet'!B31</f>
        <v>1.5072631578947369</v>
      </c>
      <c r="C15" s="23">
        <f>('Balance Sheet'!C13-'Balance Sheet'!C10)/'Balance Sheet'!C31</f>
        <v>1.672421052631579</v>
      </c>
      <c r="D15" s="23">
        <f>('Balance Sheet'!D13-'Balance Sheet'!D10)/'Balance Sheet'!D31</f>
        <v>1.8375789473684208</v>
      </c>
    </row>
    <row r="16" spans="1:4" x14ac:dyDescent="0.4">
      <c r="A16" s="5" t="s">
        <v>139</v>
      </c>
      <c r="B16" s="19">
        <f>'Balance Sheet'!B13-'Balance Sheet'!B31</f>
        <v>2063.8000000000002</v>
      </c>
      <c r="C16" s="19">
        <f>'Balance Sheet'!C13-'Balance Sheet'!C31</f>
        <v>2377.6000000000004</v>
      </c>
      <c r="D16" s="19">
        <f>'Balance Sheet'!D13-'Balance Sheet'!D31</f>
        <v>2691.3999999999996</v>
      </c>
    </row>
    <row r="18" spans="1:4" ht="18" customHeight="1" x14ac:dyDescent="0.4">
      <c r="A18" s="3" t="s">
        <v>140</v>
      </c>
      <c r="B18" s="4"/>
      <c r="C18" s="4"/>
      <c r="D18" s="4"/>
    </row>
    <row r="19" spans="1:4" x14ac:dyDescent="0.4">
      <c r="A19" s="5" t="s">
        <v>141</v>
      </c>
      <c r="B19" s="23">
        <f>('Balance Sheet'!B29+'Balance Sheet'!B34)/'Balance Sheet'!B43</f>
        <v>0.62974935975481761</v>
      </c>
      <c r="C19" s="23">
        <f>('Balance Sheet'!C29+'Balance Sheet'!C34)/'Balance Sheet'!C43</f>
        <v>0.51588178937283513</v>
      </c>
      <c r="D19" s="23">
        <f>('Balance Sheet'!D29+'Balance Sheet'!D34)/'Balance Sheet'!D43</f>
        <v>0.42683127031552681</v>
      </c>
    </row>
    <row r="20" spans="1:4" x14ac:dyDescent="0.4">
      <c r="A20" s="5" t="s">
        <v>142</v>
      </c>
      <c r="B20" s="23">
        <f>('Balance Sheet'!B29+'Balance Sheet'!B34)/'Balance Sheet'!B23</f>
        <v>0.3203827505927081</v>
      </c>
      <c r="C20" s="23">
        <f>('Balance Sheet'!C29+'Balance Sheet'!C34)/'Balance Sheet'!C23</f>
        <v>0.2849118808254304</v>
      </c>
      <c r="D20" s="23">
        <f>('Balance Sheet'!D29+'Balance Sheet'!D34)/'Balance Sheet'!D23</f>
        <v>0.25263812503643818</v>
      </c>
    </row>
    <row r="21" spans="1:4" x14ac:dyDescent="0.4">
      <c r="A21" s="5" t="s">
        <v>143</v>
      </c>
      <c r="B21" s="23">
        <f>'Income Statement'!B23/ABS('Income Statement'!B26)</f>
        <v>9</v>
      </c>
      <c r="C21" s="23">
        <f>'Income Statement'!C23/ABS('Income Statement'!C26)</f>
        <v>9</v>
      </c>
      <c r="D21" s="23">
        <f>'Income Statement'!D23/ABS('Income Statement'!D26)</f>
        <v>9</v>
      </c>
    </row>
    <row r="23" spans="1:4" ht="18" customHeight="1" x14ac:dyDescent="0.4">
      <c r="A23" s="3" t="s">
        <v>144</v>
      </c>
      <c r="B23" s="4"/>
      <c r="C23" s="4"/>
      <c r="D23" s="4"/>
    </row>
    <row r="24" spans="1:4" x14ac:dyDescent="0.4">
      <c r="A24" s="5" t="s">
        <v>145</v>
      </c>
      <c r="B24" s="23">
        <f>'Income Statement'!B9/'Balance Sheet'!B23</f>
        <v>1.0946410645250861</v>
      </c>
      <c r="C24" s="23">
        <f>'Income Statement'!C9/'Balance Sheet'!C23</f>
        <v>1.0429809923073792</v>
      </c>
      <c r="D24" s="23">
        <f>'Income Statement'!D9/'Balance Sheet'!D23</f>
        <v>0.9959772237013429</v>
      </c>
    </row>
    <row r="25" spans="1:4" x14ac:dyDescent="0.4">
      <c r="A25" s="5" t="s">
        <v>146</v>
      </c>
      <c r="B25" s="24">
        <f>'Balance Sheet'!B9/'Income Statement'!B9*365</f>
        <v>49.853658536585371</v>
      </c>
      <c r="C25" s="24">
        <f>'Balance Sheet'!C9/'Income Statement'!C9*365</f>
        <v>49.853658536585371</v>
      </c>
      <c r="D25" s="24">
        <f>'Balance Sheet'!D9/'Income Statement'!D9*365</f>
        <v>49.853658536585371</v>
      </c>
    </row>
    <row r="26" spans="1:4" x14ac:dyDescent="0.4">
      <c r="A26" s="5" t="s">
        <v>147</v>
      </c>
      <c r="B26" s="24">
        <f>'Balance Sheet'!B10/'Income Statement'!B11*365</f>
        <v>95.595238095238102</v>
      </c>
      <c r="C26" s="24">
        <f>'Balance Sheet'!C10/'Income Statement'!C11*365</f>
        <v>95.595238095238102</v>
      </c>
      <c r="D26" s="24">
        <f>'Balance Sheet'!D10/'Income Statement'!D11*365</f>
        <v>95.595238095238102</v>
      </c>
    </row>
    <row r="27" spans="1:4" x14ac:dyDescent="0.4">
      <c r="A27" s="5" t="s">
        <v>148</v>
      </c>
      <c r="B27" s="24">
        <f>'Balance Sheet'!B27/'Income Statement'!B11*365</f>
        <v>78.214285714285708</v>
      </c>
      <c r="C27" s="24">
        <f>'Balance Sheet'!C27/'Income Statement'!C11*365</f>
        <v>78.214285714285708</v>
      </c>
      <c r="D27" s="24">
        <f>'Balance Sheet'!D27/'Income Statement'!D11*365</f>
        <v>78.214285714285708</v>
      </c>
    </row>
    <row r="29" spans="1:4" ht="18" customHeight="1" x14ac:dyDescent="0.4">
      <c r="A29" s="3" t="s">
        <v>149</v>
      </c>
      <c r="B29" s="4"/>
      <c r="C29" s="4"/>
      <c r="D29" s="4"/>
    </row>
    <row r="30" spans="1:4" x14ac:dyDescent="0.4">
      <c r="A30" s="5" t="s">
        <v>150</v>
      </c>
      <c r="B30" s="22">
        <f>'Cash Flow Statement'!B14/'Income Statement'!B9</f>
        <v>0.12817560975609757</v>
      </c>
      <c r="C30" s="22">
        <f>'Cash Flow Statement'!C14/'Income Statement'!C9</f>
        <v>0.12817560975609757</v>
      </c>
      <c r="D30" s="22">
        <f>'Cash Flow Statement'!D14/'Income Statement'!D9</f>
        <v>0.12817560975609757</v>
      </c>
    </row>
    <row r="31" spans="1:4" x14ac:dyDescent="0.4">
      <c r="A31" s="25" t="s">
        <v>151</v>
      </c>
      <c r="B31" s="26">
        <f>'Cash Flow Statement'!B14+'Cash Flow Statement'!B17</f>
        <v>813.8</v>
      </c>
      <c r="C31" s="26">
        <f>'Cash Flow Statement'!C14+'Cash Flow Statement'!C17</f>
        <v>813.8</v>
      </c>
      <c r="D31" s="26">
        <f>'Cash Flow Statement'!D14+'Cash Flow Statement'!D17</f>
        <v>813.8</v>
      </c>
    </row>
    <row r="32" spans="1:4" x14ac:dyDescent="0.4">
      <c r="A32" s="5" t="s">
        <v>152</v>
      </c>
      <c r="B32" s="22">
        <f>B31/'Income Statement'!B9</f>
        <v>7.9395121951219505E-2</v>
      </c>
      <c r="C32" s="22">
        <f>C31/'Income Statement'!C9</f>
        <v>7.9395121951219505E-2</v>
      </c>
      <c r="D32" s="22">
        <f>D31/'Income Statement'!D9</f>
        <v>7.9395121951219505E-2</v>
      </c>
    </row>
    <row r="33" spans="1:4" x14ac:dyDescent="0.4">
      <c r="A33" s="5" t="s">
        <v>153</v>
      </c>
      <c r="B33" s="23">
        <f>'Cash Flow Statement'!B14/'Income Statement'!B34</f>
        <v>1.3631458808881511</v>
      </c>
      <c r="C33" s="23">
        <f>'Cash Flow Statement'!C14/'Income Statement'!C34</f>
        <v>1.3631458808881511</v>
      </c>
      <c r="D33" s="23">
        <f>'Cash Flow Statement'!D14/'Income Statement'!D34</f>
        <v>1.3631458808881511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Income Statement</vt:lpstr>
      <vt:lpstr>Balance Sheet</vt:lpstr>
      <vt:lpstr>Cash Flow Statement</vt:lpstr>
      <vt:lpstr>Ratio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Roger Orozco</cp:lastModifiedBy>
  <cp:revision>0</cp:revision>
  <dcterms:created xsi:type="dcterms:W3CDTF">2026-09-10T20:07:13Z</dcterms:created>
  <dcterms:modified xsi:type="dcterms:W3CDTF">2026-09-18T17:44:13Z</dcterms:modified>
  <dc:language>en-US</dc:language>
</cp:coreProperties>
</file>