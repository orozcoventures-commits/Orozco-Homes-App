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bishardhomes-my.sharepoint.com/personal/rorozco_bishardhomes_com/Documents/Desktop/"/>
    </mc:Choice>
  </mc:AlternateContent>
  <xr:revisionPtr revIDLastSave="0" documentId="8_{32CADC2E-0F3F-4E1A-9A12-AE87F28E0971}" xr6:coauthVersionLast="47" xr6:coauthVersionMax="47" xr10:uidLastSave="{00000000-0000-0000-0000-000000000000}"/>
  <bookViews>
    <workbookView xWindow="38290" yWindow="-110" windowWidth="38620" windowHeight="21100" xr2:uid="{00000000-000D-0000-FFFF-FFFF00000000}"/>
  </bookViews>
  <sheets>
    <sheet name="Project Summary" sheetId="1" r:id="rId1"/>
    <sheet name="Demolition &amp; Site Work" sheetId="2" r:id="rId2"/>
    <sheet name="Concrete &amp; Masonry" sheetId="3" r:id="rId3"/>
    <sheet name="Framing &amp; Structural" sheetId="4" r:id="rId4"/>
    <sheet name="Roofing &amp; Siding" sheetId="5" r:id="rId5"/>
    <sheet name="Doors &amp; Windows" sheetId="6" r:id="rId6"/>
    <sheet name="Drywall &amp; Finishes" sheetId="7" r:id="rId7"/>
    <sheet name="Plumbing System" sheetId="8" r:id="rId8"/>
    <sheet name="HVAC System" sheetId="9" r:id="rId9"/>
    <sheet name="Electrical System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" i="10" l="1"/>
  <c r="H9" i="10"/>
  <c r="F9" i="10"/>
  <c r="K9" i="10" s="1"/>
  <c r="J8" i="10"/>
  <c r="J10" i="10" s="1"/>
  <c r="E18" i="1" s="1"/>
  <c r="H8" i="10"/>
  <c r="H10" i="10" s="1"/>
  <c r="D18" i="1" s="1"/>
  <c r="F8" i="10"/>
  <c r="K7" i="10"/>
  <c r="J7" i="10"/>
  <c r="H7" i="10"/>
  <c r="F7" i="10"/>
  <c r="J6" i="10"/>
  <c r="H6" i="10"/>
  <c r="F6" i="10"/>
  <c r="K6" i="10" s="1"/>
  <c r="J5" i="10"/>
  <c r="H5" i="10"/>
  <c r="F5" i="10"/>
  <c r="K5" i="10" s="1"/>
  <c r="H10" i="9"/>
  <c r="D17" i="1" s="1"/>
  <c r="J9" i="9"/>
  <c r="H9" i="9"/>
  <c r="F9" i="9"/>
  <c r="K9" i="9" s="1"/>
  <c r="J8" i="9"/>
  <c r="H8" i="9"/>
  <c r="F8" i="9"/>
  <c r="J7" i="9"/>
  <c r="J10" i="9" s="1"/>
  <c r="E17" i="1" s="1"/>
  <c r="H7" i="9"/>
  <c r="K7" i="9" s="1"/>
  <c r="F7" i="9"/>
  <c r="J6" i="9"/>
  <c r="H6" i="9"/>
  <c r="F6" i="9"/>
  <c r="K6" i="9" s="1"/>
  <c r="J5" i="9"/>
  <c r="H5" i="9"/>
  <c r="F5" i="9"/>
  <c r="K5" i="9" s="1"/>
  <c r="J10" i="8"/>
  <c r="H10" i="8"/>
  <c r="D16" i="1" s="1"/>
  <c r="F10" i="8"/>
  <c r="C16" i="1" s="1"/>
  <c r="F16" i="1" s="1"/>
  <c r="J9" i="8"/>
  <c r="H9" i="8"/>
  <c r="F9" i="8"/>
  <c r="K9" i="8" s="1"/>
  <c r="J8" i="8"/>
  <c r="H8" i="8"/>
  <c r="F8" i="8"/>
  <c r="K8" i="8" s="1"/>
  <c r="J7" i="8"/>
  <c r="H7" i="8"/>
  <c r="F7" i="8"/>
  <c r="K7" i="8" s="1"/>
  <c r="K6" i="8"/>
  <c r="J6" i="8"/>
  <c r="H6" i="8"/>
  <c r="F6" i="8"/>
  <c r="J5" i="8"/>
  <c r="H5" i="8"/>
  <c r="F5" i="8"/>
  <c r="K5" i="8" s="1"/>
  <c r="K10" i="8" s="1"/>
  <c r="J10" i="7"/>
  <c r="E15" i="1" s="1"/>
  <c r="H10" i="7"/>
  <c r="D15" i="1" s="1"/>
  <c r="F10" i="7"/>
  <c r="C15" i="1" s="1"/>
  <c r="J9" i="7"/>
  <c r="K9" i="7" s="1"/>
  <c r="H9" i="7"/>
  <c r="F9" i="7"/>
  <c r="J8" i="7"/>
  <c r="H8" i="7"/>
  <c r="F8" i="7"/>
  <c r="K8" i="7" s="1"/>
  <c r="J7" i="7"/>
  <c r="H7" i="7"/>
  <c r="F7" i="7"/>
  <c r="K7" i="7" s="1"/>
  <c r="J6" i="7"/>
  <c r="H6" i="7"/>
  <c r="F6" i="7"/>
  <c r="K6" i="7" s="1"/>
  <c r="J5" i="7"/>
  <c r="H5" i="7"/>
  <c r="F5" i="7"/>
  <c r="K5" i="7" s="1"/>
  <c r="J9" i="6"/>
  <c r="J10" i="6" s="1"/>
  <c r="E14" i="1" s="1"/>
  <c r="H9" i="6"/>
  <c r="H10" i="6" s="1"/>
  <c r="D14" i="1" s="1"/>
  <c r="F9" i="6"/>
  <c r="J8" i="6"/>
  <c r="H8" i="6"/>
  <c r="F8" i="6"/>
  <c r="K8" i="6" s="1"/>
  <c r="J7" i="6"/>
  <c r="H7" i="6"/>
  <c r="F7" i="6"/>
  <c r="K7" i="6" s="1"/>
  <c r="J6" i="6"/>
  <c r="H6" i="6"/>
  <c r="F6" i="6"/>
  <c r="K6" i="6" s="1"/>
  <c r="J5" i="6"/>
  <c r="H5" i="6"/>
  <c r="F5" i="6"/>
  <c r="K5" i="6" s="1"/>
  <c r="J10" i="5"/>
  <c r="E13" i="1" s="1"/>
  <c r="J9" i="5"/>
  <c r="H9" i="5"/>
  <c r="H10" i="5" s="1"/>
  <c r="D13" i="1" s="1"/>
  <c r="F9" i="5"/>
  <c r="J8" i="5"/>
  <c r="K8" i="5" s="1"/>
  <c r="H8" i="5"/>
  <c r="F8" i="5"/>
  <c r="J7" i="5"/>
  <c r="H7" i="5"/>
  <c r="F7" i="5"/>
  <c r="K7" i="5" s="1"/>
  <c r="J6" i="5"/>
  <c r="H6" i="5"/>
  <c r="F6" i="5"/>
  <c r="K6" i="5" s="1"/>
  <c r="J5" i="5"/>
  <c r="H5" i="5"/>
  <c r="K5" i="5" s="1"/>
  <c r="F5" i="5"/>
  <c r="J10" i="4"/>
  <c r="E12" i="1" s="1"/>
  <c r="J9" i="4"/>
  <c r="H9" i="4"/>
  <c r="F9" i="4"/>
  <c r="K9" i="4" s="1"/>
  <c r="J8" i="4"/>
  <c r="H8" i="4"/>
  <c r="H10" i="4" s="1"/>
  <c r="D12" i="1" s="1"/>
  <c r="F8" i="4"/>
  <c r="J7" i="4"/>
  <c r="H7" i="4"/>
  <c r="F7" i="4"/>
  <c r="K7" i="4" s="1"/>
  <c r="J6" i="4"/>
  <c r="H6" i="4"/>
  <c r="F6" i="4"/>
  <c r="K6" i="4" s="1"/>
  <c r="J5" i="4"/>
  <c r="H5" i="4"/>
  <c r="F5" i="4"/>
  <c r="K5" i="4" s="1"/>
  <c r="J10" i="3"/>
  <c r="E11" i="1" s="1"/>
  <c r="J9" i="3"/>
  <c r="H9" i="3"/>
  <c r="F9" i="3"/>
  <c r="K9" i="3" s="1"/>
  <c r="J8" i="3"/>
  <c r="H8" i="3"/>
  <c r="H10" i="3" s="1"/>
  <c r="D11" i="1" s="1"/>
  <c r="F8" i="3"/>
  <c r="J7" i="3"/>
  <c r="K7" i="3" s="1"/>
  <c r="H7" i="3"/>
  <c r="F7" i="3"/>
  <c r="J6" i="3"/>
  <c r="H6" i="3"/>
  <c r="F6" i="3"/>
  <c r="K6" i="3" s="1"/>
  <c r="J5" i="3"/>
  <c r="H5" i="3"/>
  <c r="F5" i="3"/>
  <c r="K5" i="3" s="1"/>
  <c r="J10" i="2"/>
  <c r="E10" i="1" s="1"/>
  <c r="H10" i="2"/>
  <c r="D10" i="1" s="1"/>
  <c r="J9" i="2"/>
  <c r="H9" i="2"/>
  <c r="F9" i="2"/>
  <c r="K9" i="2" s="1"/>
  <c r="J8" i="2"/>
  <c r="H8" i="2"/>
  <c r="F8" i="2"/>
  <c r="K8" i="2" s="1"/>
  <c r="J7" i="2"/>
  <c r="H7" i="2"/>
  <c r="F7" i="2"/>
  <c r="J6" i="2"/>
  <c r="H6" i="2"/>
  <c r="F6" i="2"/>
  <c r="K6" i="2" s="1"/>
  <c r="J5" i="2"/>
  <c r="H5" i="2"/>
  <c r="F5" i="2"/>
  <c r="K5" i="2" s="1"/>
  <c r="E16" i="1"/>
  <c r="K8" i="10" l="1"/>
  <c r="K10" i="10" s="1"/>
  <c r="F10" i="10"/>
  <c r="C18" i="1" s="1"/>
  <c r="F18" i="1" s="1"/>
  <c r="F10" i="9"/>
  <c r="C17" i="1" s="1"/>
  <c r="F17" i="1" s="1"/>
  <c r="K8" i="9"/>
  <c r="K10" i="9" s="1"/>
  <c r="F10" i="6"/>
  <c r="C14" i="1" s="1"/>
  <c r="F14" i="1" s="1"/>
  <c r="K9" i="6"/>
  <c r="K10" i="6" s="1"/>
  <c r="F10" i="5"/>
  <c r="C13" i="1" s="1"/>
  <c r="F13" i="1" s="1"/>
  <c r="K9" i="5"/>
  <c r="K10" i="5" s="1"/>
  <c r="K8" i="4"/>
  <c r="K10" i="4" s="1"/>
  <c r="F10" i="4"/>
  <c r="C12" i="1" s="1"/>
  <c r="F12" i="1" s="1"/>
  <c r="K8" i="3"/>
  <c r="K10" i="3" s="1"/>
  <c r="F10" i="3"/>
  <c r="C11" i="1" s="1"/>
  <c r="F11" i="1" s="1"/>
  <c r="K7" i="2"/>
  <c r="K10" i="2" s="1"/>
  <c r="F10" i="2"/>
  <c r="C10" i="1" s="1"/>
  <c r="E19" i="1"/>
  <c r="D19" i="1"/>
  <c r="F15" i="1"/>
  <c r="K10" i="7"/>
  <c r="C19" i="1" l="1"/>
  <c r="F10" i="1"/>
  <c r="F19" i="1" s="1"/>
  <c r="F22" i="1" l="1"/>
  <c r="F26" i="1" s="1"/>
  <c r="F23" i="1"/>
  <c r="F24" i="1"/>
</calcChain>
</file>

<file path=xl/sharedStrings.xml><?xml version="1.0" encoding="utf-8"?>
<sst xmlns="http://schemas.openxmlformats.org/spreadsheetml/2006/main" count="231" uniqueCount="120">
  <si>
    <t>GENERAL CONTRACTOR MASTER JOB ESTIMATE</t>
  </si>
  <si>
    <t>Project Name:</t>
  </si>
  <si>
    <t>Commercial Office Buildout</t>
  </si>
  <si>
    <t>Client Name:</t>
  </si>
  <si>
    <t>Apex Holdings LLC</t>
  </si>
  <si>
    <t>Project Location:</t>
  </si>
  <si>
    <t>100 Corporate Parkway</t>
  </si>
  <si>
    <t>Estimator:</t>
  </si>
  <si>
    <t>J. Construction Manager</t>
  </si>
  <si>
    <t>Trade Worksheet Division</t>
  </si>
  <si>
    <t>Labor Cost Subtotal</t>
  </si>
  <si>
    <t>Material Cost Subtotal</t>
  </si>
  <si>
    <t>Subcontractor Cost Subtotal</t>
  </si>
  <si>
    <t>Total Direct Trade Cost</t>
  </si>
  <si>
    <t>Demolition &amp; Site Work</t>
  </si>
  <si>
    <t>Concrete &amp; Masonry</t>
  </si>
  <si>
    <t>Framing &amp; Structural</t>
  </si>
  <si>
    <t>Roofing &amp; Siding</t>
  </si>
  <si>
    <t>Doors &amp; Windows</t>
  </si>
  <si>
    <t>Drywall &amp; Finishes</t>
  </si>
  <si>
    <t>Plumbing System</t>
  </si>
  <si>
    <t>HVAC System</t>
  </si>
  <si>
    <t>Electrical System</t>
  </si>
  <si>
    <t>TOTAL DIRECT FIELD COSTS</t>
  </si>
  <si>
    <t>FINANCIAL MARKUPS &amp; BUFFER ENGINE</t>
  </si>
  <si>
    <t>Project Contingency Buffer</t>
  </si>
  <si>
    <t>Company Overhead &amp; Administrative</t>
  </si>
  <si>
    <t>Target Professional Net Profit Margin</t>
  </si>
  <si>
    <t>GRAND TOTAL CONTRACT BID PRICE</t>
  </si>
  <si>
    <t>STANDARD SCOPE EXCLUSIONS &amp; CLIENT TERMS</t>
  </si>
  <si>
    <t>1. This estimate is strictly valid for a maximum of 30 calendar days from the date of issuance due to market material volatility.</t>
  </si>
  <si>
    <t>2. Scope Excludes: Hazardous material remediation (asbestos, lead), engineering plan fees, municipal permit acquisition costs, and hidden structural decay discovery.</t>
  </si>
  <si>
    <t>3. Progress Payments: Standard billing structure applies (10% Mobilization Deposit, monthly progress draws against verified completion sheets, 5% Retainage release).</t>
  </si>
  <si>
    <t>DEMOLITION &amp; SITE WORK COST WORKSHEET</t>
  </si>
  <si>
    <t>Description</t>
  </si>
  <si>
    <t>Unit</t>
  </si>
  <si>
    <t>Quantity</t>
  </si>
  <si>
    <t>Labor Unit</t>
  </si>
  <si>
    <t>Labor Total</t>
  </si>
  <si>
    <t>Material Unit</t>
  </si>
  <si>
    <t>Material Total</t>
  </si>
  <si>
    <t>Subcontract Unit/Cost</t>
  </si>
  <si>
    <t>Subcontract Total</t>
  </si>
  <si>
    <t>Line Total</t>
  </si>
  <si>
    <t>Structural Teardown</t>
  </si>
  <si>
    <t>SqFt</t>
  </si>
  <si>
    <t>Tree Removal &amp; Land Clearing</t>
  </si>
  <si>
    <t>Acre</t>
  </si>
  <si>
    <t>Excavation &amp; Earth Moving</t>
  </si>
  <si>
    <t>CuYd</t>
  </si>
  <si>
    <t>Erosion Control &amp; Silt Fencing</t>
  </si>
  <si>
    <t>LinFt</t>
  </si>
  <si>
    <t>Debris Hauling &amp; Dumpster Fees</t>
  </si>
  <si>
    <t>Tons</t>
  </si>
  <si>
    <t>Total Demolition &amp; Site Work</t>
  </si>
  <si>
    <t>CONCRETE &amp; MASONRY COST WORKSHEET</t>
  </si>
  <si>
    <t>Foundation Footing Concrete</t>
  </si>
  <si>
    <t>Slab Pouring Labor</t>
  </si>
  <si>
    <t>Steel Rebar Reinforcement</t>
  </si>
  <si>
    <t>CMU Retaining Wall Block</t>
  </si>
  <si>
    <t>Count</t>
  </si>
  <si>
    <t>Concrete Pumping Equipment Rental</t>
  </si>
  <si>
    <t>Days</t>
  </si>
  <si>
    <t>Total Concrete &amp; Masonry</t>
  </si>
  <si>
    <t>FRAMING &amp; STRUCTURAL COST WORKSHEET</t>
  </si>
  <si>
    <t>Wood Exterior Stud Wall Framing</t>
  </si>
  <si>
    <t>Interior Partition Framing</t>
  </si>
  <si>
    <t>CDX Plywood Floor Sheathing</t>
  </si>
  <si>
    <t>Sheets</t>
  </si>
  <si>
    <t>Engineered Roof Trusses</t>
  </si>
  <si>
    <t>Structural Steel I-Beams</t>
  </si>
  <si>
    <t>Total Framing &amp; Structural</t>
  </si>
  <si>
    <t>ROOFING &amp; SIDING COST WORKSHEET</t>
  </si>
  <si>
    <t>Architectural Asphalt Shingles</t>
  </si>
  <si>
    <t>Squares</t>
  </si>
  <si>
    <t>Synthetic Roof Underlayment</t>
  </si>
  <si>
    <t>Rolls</t>
  </si>
  <si>
    <t>Aluminum Seamless Gutters</t>
  </si>
  <si>
    <t>Fiber Cement Siding Installation</t>
  </si>
  <si>
    <t>Housewrap Moisture Barrier</t>
  </si>
  <si>
    <t>Total Roofing &amp; Siding</t>
  </si>
  <si>
    <t>DOORS &amp; WINDOWS COST WORKSHEET</t>
  </si>
  <si>
    <t>Vinyl Double-Hung Windows</t>
  </si>
  <si>
    <t>Exterior Insulated Fiberglass Doors</t>
  </si>
  <si>
    <t>Interior Pre-Hung Hollow Core Doors</t>
  </si>
  <si>
    <t>Sliding Glass Patio Doors</t>
  </si>
  <si>
    <t>Commercial Hardware &amp; Locksets</t>
  </si>
  <si>
    <t>Lots</t>
  </si>
  <si>
    <t>Total Doors &amp; Windows</t>
  </si>
  <si>
    <t>DRYWALL &amp; FINISHES COST WORKSHEET</t>
  </si>
  <si>
    <t>Drywall Hanging (5/8-inch Boards)</t>
  </si>
  <si>
    <t>Tape, Mud, &amp; Sand Smooth Finish</t>
  </si>
  <si>
    <t>Interior Premium Latex Painting</t>
  </si>
  <si>
    <t>Engineered Hardwood Floor Laying</t>
  </si>
  <si>
    <t>Porcelain Tile Flooring</t>
  </si>
  <si>
    <t>Total Drywall &amp; Finishes</t>
  </si>
  <si>
    <t>PLUMBING SYSTEM COST WORKSHEET</t>
  </si>
  <si>
    <t>Rough-In PEX Supply &amp; PVC Waste Lines</t>
  </si>
  <si>
    <t>Fixture</t>
  </si>
  <si>
    <t>Main Water Service Hookup</t>
  </si>
  <si>
    <t>Lot</t>
  </si>
  <si>
    <t>Tankless Gas Water Heater Install</t>
  </si>
  <si>
    <t>Bathroom &amp; Kitchen Fixture Trims</t>
  </si>
  <si>
    <t>Sewage Ejector Pump System</t>
  </si>
  <si>
    <t>Total Plumbing System</t>
  </si>
  <si>
    <t>HVAC SYSTEM COST WORKSHEET</t>
  </si>
  <si>
    <t>Complete Ductwork Layout &amp; Fitting</t>
  </si>
  <si>
    <t>16 SEER Heat Pump &amp; Air Handler</t>
  </si>
  <si>
    <t>Digital Smart Thermostats</t>
  </si>
  <si>
    <t>Gas Piping &amp; Venting Run</t>
  </si>
  <si>
    <t>System Balancing &amp; Certification</t>
  </si>
  <si>
    <t>Total HVAC System</t>
  </si>
  <si>
    <t>ELECTRICAL SYSTEM COST WORKSHEET</t>
  </si>
  <si>
    <t>200-Amp Main Service Panel &amp; Breakers</t>
  </si>
  <si>
    <t>Whole-House Rough-In Wiring Romex</t>
  </si>
  <si>
    <t>Recessed LED Can Light Fixtures</t>
  </si>
  <si>
    <t>GFI Outlets &amp; Standard Switches</t>
  </si>
  <si>
    <t>Low-Voltage Cat6 Data Network</t>
  </si>
  <si>
    <t>Drops</t>
  </si>
  <si>
    <t>Total Electrical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</si>
</sst>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0.0%"/>
  </numFmts>
  <fonts count="7" x14ac:knownFonts="1">
    <font>
      <sz val="11"/>
      <color theme="1"/>
      <name val="Calibri"/>
      <family val="2"/>
      <scheme val="minor"/>
    </font>
    <font>
      <b/>
      <sz val="16"/>
      <color rgb="FF1B365D"/>
      <name val="Arial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  <font>
      <b/>
      <sz val="12"/>
      <color rgb="FF1B365D"/>
      <name val="Arial"/>
    </font>
    <font>
      <i/>
      <sz val="9"/>
      <color rgb="FF555555"/>
      <name val="Arial"/>
    </font>
  </fonts>
  <fills count="7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F2F4F8"/>
        <bgColor rgb="FFF2F4F8"/>
      </patternFill>
    </fill>
    <fill>
      <patternFill patternType="solid">
        <fgColor rgb="FFE6ECF5"/>
        <bgColor rgb="FFE6ECF5"/>
      </patternFill>
    </fill>
    <fill>
      <patternFill patternType="solid">
        <fgColor rgb="FFD9E1F2"/>
        <bgColor rgb="FFD9E1F2"/>
      </patternFill>
    </fill>
    <fill>
      <patternFill patternType="solid">
        <fgColor theme="3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medium">
        <color rgb="FF1B365D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double">
        <color rgb="FF1B365D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double">
        <color rgb="FF1B365D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4" fillId="0" borderId="0" xfId="0" applyFont="1"/>
    <xf numFmtId="0" fontId="3" fillId="0" borderId="0" xfId="0" applyFont="1"/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/>
    <xf numFmtId="164" fontId="3" fillId="0" borderId="2" xfId="0" applyNumberFormat="1" applyFont="1" applyBorder="1" applyAlignment="1">
      <alignment horizontal="right" vertical="center"/>
    </xf>
    <xf numFmtId="164" fontId="3" fillId="3" borderId="2" xfId="0" applyNumberFormat="1" applyFont="1" applyFill="1" applyBorder="1" applyAlignment="1">
      <alignment horizontal="right" vertical="center"/>
    </xf>
    <xf numFmtId="0" fontId="4" fillId="4" borderId="3" xfId="0" applyFont="1" applyFill="1" applyBorder="1"/>
    <xf numFmtId="164" fontId="4" fillId="4" borderId="3" xfId="0" applyNumberFormat="1" applyFont="1" applyFill="1" applyBorder="1" applyAlignment="1">
      <alignment horizontal="right" vertical="center"/>
    </xf>
    <xf numFmtId="0" fontId="5" fillId="0" borderId="0" xfId="0" applyFont="1"/>
    <xf numFmtId="165" fontId="3" fillId="0" borderId="0" xfId="0" applyNumberFormat="1" applyFont="1" applyAlignment="1">
      <alignment horizontal="right" vertical="center"/>
    </xf>
    <xf numFmtId="0" fontId="4" fillId="5" borderId="0" xfId="0" applyFont="1" applyFill="1"/>
    <xf numFmtId="0" fontId="0" fillId="5" borderId="0" xfId="0" applyFill="1"/>
    <xf numFmtId="164" fontId="4" fillId="5" borderId="4" xfId="0" applyNumberFormat="1" applyFont="1" applyFill="1" applyBorder="1" applyAlignment="1">
      <alignment horizontal="right" vertical="center"/>
    </xf>
    <xf numFmtId="0" fontId="6" fillId="0" borderId="0" xfId="0" applyFont="1"/>
    <xf numFmtId="0" fontId="2" fillId="2" borderId="1" xfId="0" applyFont="1" applyFill="1" applyBorder="1" applyAlignment="1">
      <alignment horizontal="right" vertical="center"/>
    </xf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3" fontId="3" fillId="0" borderId="2" xfId="0" applyNumberFormat="1" applyFont="1" applyBorder="1" applyAlignment="1">
      <alignment horizontal="right" vertical="center"/>
    </xf>
    <xf numFmtId="0" fontId="3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4" fontId="3" fillId="3" borderId="2" xfId="0" applyNumberFormat="1" applyFont="1" applyFill="1" applyBorder="1" applyAlignment="1">
      <alignment horizontal="right" vertical="center"/>
    </xf>
    <xf numFmtId="3" fontId="3" fillId="3" borderId="2" xfId="0" applyNumberFormat="1" applyFont="1" applyFill="1" applyBorder="1" applyAlignment="1">
      <alignment horizontal="right" vertical="center"/>
    </xf>
    <xf numFmtId="0" fontId="4" fillId="4" borderId="3" xfId="0" applyFont="1" applyFill="1" applyBorder="1" applyAlignment="1">
      <alignment horizontal="left" vertical="center"/>
    </xf>
    <xf numFmtId="0" fontId="0" fillId="4" borderId="3" xfId="0" applyFill="1" applyBorder="1"/>
    <xf numFmtId="0" fontId="3" fillId="6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32"/>
  <sheetViews>
    <sheetView tabSelected="1" workbookViewId="0">
      <selection activeCell="B46" sqref="B46:B47"/>
    </sheetView>
  </sheetViews>
  <sheetFormatPr defaultRowHeight="14.6" x14ac:dyDescent="0.4"/>
  <cols>
    <col min="1" max="1" width="12" customWidth="1"/>
    <col min="2" max="2" width="168" customWidth="1"/>
    <col min="3" max="5" width="32" customWidth="1"/>
    <col min="6" max="6" width="26" customWidth="1"/>
  </cols>
  <sheetData>
    <row r="2" spans="2:6" ht="20.149999999999999" x14ac:dyDescent="0.5">
      <c r="B2" s="1" t="s">
        <v>0</v>
      </c>
    </row>
    <row r="4" spans="2:6" x14ac:dyDescent="0.4">
      <c r="B4" s="2" t="s">
        <v>1</v>
      </c>
      <c r="C4" s="27" t="s">
        <v>2</v>
      </c>
    </row>
    <row r="5" spans="2:6" x14ac:dyDescent="0.4">
      <c r="B5" s="2" t="s">
        <v>3</v>
      </c>
      <c r="C5" s="27" t="s">
        <v>4</v>
      </c>
    </row>
    <row r="6" spans="2:6" x14ac:dyDescent="0.4">
      <c r="B6" s="2" t="s">
        <v>5</v>
      </c>
      <c r="C6" s="27" t="s">
        <v>6</v>
      </c>
    </row>
    <row r="7" spans="2:6" x14ac:dyDescent="0.4">
      <c r="B7" s="2" t="s">
        <v>7</v>
      </c>
      <c r="C7" s="27" t="s">
        <v>8</v>
      </c>
    </row>
    <row r="9" spans="2:6" x14ac:dyDescent="0.4">
      <c r="B9" s="4" t="s">
        <v>9</v>
      </c>
      <c r="C9" s="5" t="s">
        <v>10</v>
      </c>
      <c r="D9" s="5" t="s">
        <v>11</v>
      </c>
      <c r="E9" s="5" t="s">
        <v>12</v>
      </c>
      <c r="F9" s="5" t="s">
        <v>13</v>
      </c>
    </row>
    <row r="10" spans="2:6" x14ac:dyDescent="0.4">
      <c r="B10" s="6" t="s">
        <v>14</v>
      </c>
      <c r="C10" s="7">
        <f>'Demolition &amp; Site Work'!F10</f>
        <v>11970</v>
      </c>
      <c r="D10" s="7">
        <f>'Demolition &amp; Site Work'!H10</f>
        <v>1500</v>
      </c>
      <c r="E10" s="7">
        <f>'Demolition &amp; Site Work'!J10</f>
        <v>16425</v>
      </c>
      <c r="F10" s="7">
        <f t="shared" ref="F10:F18" si="0">SUM(C10:E10)</f>
        <v>29895</v>
      </c>
    </row>
    <row r="11" spans="2:6" x14ac:dyDescent="0.4">
      <c r="B11" s="6" t="s">
        <v>15</v>
      </c>
      <c r="C11" s="8">
        <f>'Concrete &amp; Masonry'!F10</f>
        <v>17400</v>
      </c>
      <c r="D11" s="8">
        <f>'Concrete &amp; Masonry'!H10</f>
        <v>20435</v>
      </c>
      <c r="E11" s="8">
        <f>'Concrete &amp; Masonry'!J10</f>
        <v>7775</v>
      </c>
      <c r="F11" s="8">
        <f t="shared" si="0"/>
        <v>45610</v>
      </c>
    </row>
    <row r="12" spans="2:6" x14ac:dyDescent="0.4">
      <c r="B12" s="6" t="s">
        <v>16</v>
      </c>
      <c r="C12" s="7">
        <f>'Framing &amp; Structural'!F10</f>
        <v>13300</v>
      </c>
      <c r="D12" s="7">
        <f>'Framing &amp; Structural'!H10</f>
        <v>33210</v>
      </c>
      <c r="E12" s="7">
        <f>'Framing &amp; Structural'!J10</f>
        <v>4320</v>
      </c>
      <c r="F12" s="7">
        <f t="shared" si="0"/>
        <v>50830</v>
      </c>
    </row>
    <row r="13" spans="2:6" x14ac:dyDescent="0.4">
      <c r="B13" s="6" t="s">
        <v>17</v>
      </c>
      <c r="C13" s="8">
        <f>'Roofing &amp; Siding'!F10</f>
        <v>15980</v>
      </c>
      <c r="D13" s="8">
        <f>'Roofing &amp; Siding'!H10</f>
        <v>19475</v>
      </c>
      <c r="E13" s="8">
        <f>'Roofing &amp; Siding'!J10</f>
        <v>0</v>
      </c>
      <c r="F13" s="8">
        <f t="shared" si="0"/>
        <v>35455</v>
      </c>
    </row>
    <row r="14" spans="2:6" x14ac:dyDescent="0.4">
      <c r="B14" s="6" t="s">
        <v>18</v>
      </c>
      <c r="C14" s="7">
        <f>'Doors &amp; Windows'!F10</f>
        <v>3320</v>
      </c>
      <c r="D14" s="7">
        <f>'Doors &amp; Windows'!H10</f>
        <v>14800</v>
      </c>
      <c r="E14" s="7">
        <f>'Doors &amp; Windows'!J10</f>
        <v>0</v>
      </c>
      <c r="F14" s="7">
        <f t="shared" si="0"/>
        <v>18120</v>
      </c>
    </row>
    <row r="15" spans="2:6" x14ac:dyDescent="0.4">
      <c r="B15" s="6" t="s">
        <v>19</v>
      </c>
      <c r="C15" s="8">
        <f>'Drywall &amp; Finishes'!F10</f>
        <v>35865</v>
      </c>
      <c r="D15" s="8">
        <f>'Drywall &amp; Finishes'!H10</f>
        <v>23695</v>
      </c>
      <c r="E15" s="8">
        <f>'Drywall &amp; Finishes'!J10</f>
        <v>0</v>
      </c>
      <c r="F15" s="8">
        <f t="shared" si="0"/>
        <v>59560</v>
      </c>
    </row>
    <row r="16" spans="2:6" x14ac:dyDescent="0.4">
      <c r="B16" s="6" t="s">
        <v>20</v>
      </c>
      <c r="C16" s="7">
        <f>'Plumbing System'!F10</f>
        <v>0</v>
      </c>
      <c r="D16" s="7">
        <f>'Plumbing System'!H10</f>
        <v>0</v>
      </c>
      <c r="E16" s="7">
        <f>'Plumbing System'!J10</f>
        <v>18670</v>
      </c>
      <c r="F16" s="7">
        <f t="shared" si="0"/>
        <v>18670</v>
      </c>
    </row>
    <row r="17" spans="2:6" x14ac:dyDescent="0.4">
      <c r="B17" s="6" t="s">
        <v>21</v>
      </c>
      <c r="C17" s="8">
        <f>'HVAC System'!F10</f>
        <v>0</v>
      </c>
      <c r="D17" s="8">
        <f>'HVAC System'!H10</f>
        <v>0</v>
      </c>
      <c r="E17" s="8">
        <f>'HVAC System'!J10</f>
        <v>29250</v>
      </c>
      <c r="F17" s="8">
        <f t="shared" si="0"/>
        <v>29250</v>
      </c>
    </row>
    <row r="18" spans="2:6" x14ac:dyDescent="0.4">
      <c r="B18" s="6" t="s">
        <v>22</v>
      </c>
      <c r="C18" s="7">
        <f>'Electrical System'!F10</f>
        <v>0</v>
      </c>
      <c r="D18" s="7">
        <f>'Electrical System'!H10</f>
        <v>0</v>
      </c>
      <c r="E18" s="7">
        <f>'Electrical System'!J10</f>
        <v>22565</v>
      </c>
      <c r="F18" s="7">
        <f t="shared" si="0"/>
        <v>22565</v>
      </c>
    </row>
    <row r="19" spans="2:6" x14ac:dyDescent="0.4">
      <c r="B19" s="9" t="s">
        <v>23</v>
      </c>
      <c r="C19" s="10">
        <f>SUM(C10:C18)</f>
        <v>97835</v>
      </c>
      <c r="D19" s="10">
        <f>SUM(D10:D18)</f>
        <v>113115</v>
      </c>
      <c r="E19" s="10">
        <f>SUM(E10:E18)</f>
        <v>99005</v>
      </c>
      <c r="F19" s="10">
        <f>SUM(F10:F18)</f>
        <v>309955</v>
      </c>
    </row>
    <row r="21" spans="2:6" ht="15.45" x14ac:dyDescent="0.4">
      <c r="B21" s="11" t="s">
        <v>24</v>
      </c>
    </row>
    <row r="22" spans="2:6" x14ac:dyDescent="0.4">
      <c r="B22" s="3" t="s">
        <v>25</v>
      </c>
      <c r="E22" s="12">
        <v>0.05</v>
      </c>
      <c r="F22" s="7">
        <f>F19*E22</f>
        <v>15497.75</v>
      </c>
    </row>
    <row r="23" spans="2:6" x14ac:dyDescent="0.4">
      <c r="B23" s="3" t="s">
        <v>26</v>
      </c>
      <c r="E23" s="12">
        <v>0.1</v>
      </c>
      <c r="F23" s="7">
        <f>F19*E23</f>
        <v>30995.5</v>
      </c>
    </row>
    <row r="24" spans="2:6" x14ac:dyDescent="0.4">
      <c r="B24" s="3" t="s">
        <v>27</v>
      </c>
      <c r="E24" s="12">
        <v>0.08</v>
      </c>
      <c r="F24" s="7">
        <f>F19*E24</f>
        <v>24796.400000000001</v>
      </c>
    </row>
    <row r="26" spans="2:6" x14ac:dyDescent="0.4">
      <c r="B26" s="13" t="s">
        <v>28</v>
      </c>
      <c r="C26" s="14"/>
      <c r="D26" s="14"/>
      <c r="E26" s="14"/>
      <c r="F26" s="15">
        <f>F19+SUM(F22:F24)</f>
        <v>381244.65</v>
      </c>
    </row>
    <row r="29" spans="2:6" ht="15.45" x14ac:dyDescent="0.4">
      <c r="B29" s="11" t="s">
        <v>29</v>
      </c>
    </row>
    <row r="30" spans="2:6" x14ac:dyDescent="0.4">
      <c r="B30" s="16" t="s">
        <v>30</v>
      </c>
    </row>
    <row r="31" spans="2:6" x14ac:dyDescent="0.4">
      <c r="B31" s="16" t="s">
        <v>31</v>
      </c>
    </row>
    <row r="32" spans="2:6" x14ac:dyDescent="0.4">
      <c r="B32" s="16" t="s">
        <v>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K10"/>
  <sheetViews>
    <sheetView workbookViewId="0"/>
  </sheetViews>
  <sheetFormatPr defaultRowHeight="14.6" x14ac:dyDescent="0.4"/>
  <cols>
    <col min="1" max="1" width="11" customWidth="1"/>
    <col min="2" max="2" width="40" customWidth="1"/>
    <col min="3" max="4" width="11" customWidth="1"/>
    <col min="5" max="5" width="13" customWidth="1"/>
    <col min="6" max="6" width="14" customWidth="1"/>
    <col min="7" max="7" width="16" customWidth="1"/>
    <col min="8" max="8" width="17" customWidth="1"/>
    <col min="9" max="9" width="24" customWidth="1"/>
    <col min="10" max="10" width="20" customWidth="1"/>
    <col min="11" max="11" width="14" customWidth="1"/>
  </cols>
  <sheetData>
    <row r="2" spans="2:11" ht="20.149999999999999" x14ac:dyDescent="0.5">
      <c r="B2" s="1" t="s">
        <v>33</v>
      </c>
    </row>
    <row r="4" spans="2:11" x14ac:dyDescent="0.4">
      <c r="B4" s="4" t="s">
        <v>34</v>
      </c>
      <c r="C4" s="5" t="s">
        <v>35</v>
      </c>
      <c r="D4" s="17" t="s">
        <v>36</v>
      </c>
      <c r="E4" s="17" t="s">
        <v>37</v>
      </c>
      <c r="F4" s="17" t="s">
        <v>38</v>
      </c>
      <c r="G4" s="17" t="s">
        <v>39</v>
      </c>
      <c r="H4" s="17" t="s">
        <v>40</v>
      </c>
      <c r="I4" s="17" t="s">
        <v>41</v>
      </c>
      <c r="J4" s="17" t="s">
        <v>42</v>
      </c>
      <c r="K4" s="17" t="s">
        <v>43</v>
      </c>
    </row>
    <row r="5" spans="2:11" x14ac:dyDescent="0.4">
      <c r="B5" s="18" t="s">
        <v>44</v>
      </c>
      <c r="C5" s="19" t="s">
        <v>45</v>
      </c>
      <c r="D5" s="20">
        <v>2500</v>
      </c>
      <c r="E5" s="7">
        <v>4.5</v>
      </c>
      <c r="F5" s="7">
        <f>D5*E5</f>
        <v>11250</v>
      </c>
      <c r="G5" s="7">
        <v>0</v>
      </c>
      <c r="H5" s="7">
        <f>D5*G5</f>
        <v>0</v>
      </c>
      <c r="I5" s="7">
        <v>0</v>
      </c>
      <c r="J5" s="7">
        <f>D5*I5</f>
        <v>0</v>
      </c>
      <c r="K5" s="7">
        <f>F5+H5+J5</f>
        <v>11250</v>
      </c>
    </row>
    <row r="6" spans="2:11" x14ac:dyDescent="0.4">
      <c r="B6" s="21" t="s">
        <v>46</v>
      </c>
      <c r="C6" s="22" t="s">
        <v>47</v>
      </c>
      <c r="D6" s="23">
        <v>1.5</v>
      </c>
      <c r="E6" s="8">
        <v>0</v>
      </c>
      <c r="F6" s="8">
        <f>D6*E6</f>
        <v>0</v>
      </c>
      <c r="G6" s="8">
        <v>0</v>
      </c>
      <c r="H6" s="8">
        <f>D6*G6</f>
        <v>0</v>
      </c>
      <c r="I6" s="8">
        <v>4500</v>
      </c>
      <c r="J6" s="8">
        <f>D6*I6</f>
        <v>6750</v>
      </c>
      <c r="K6" s="8">
        <f>F6+H6+J6</f>
        <v>6750</v>
      </c>
    </row>
    <row r="7" spans="2:11" x14ac:dyDescent="0.4">
      <c r="B7" s="18" t="s">
        <v>48</v>
      </c>
      <c r="C7" s="19" t="s">
        <v>49</v>
      </c>
      <c r="D7" s="20">
        <v>450</v>
      </c>
      <c r="E7" s="7">
        <v>0</v>
      </c>
      <c r="F7" s="7">
        <f>D7*E7</f>
        <v>0</v>
      </c>
      <c r="G7" s="7">
        <v>0</v>
      </c>
      <c r="H7" s="7">
        <f>D7*G7</f>
        <v>0</v>
      </c>
      <c r="I7" s="7">
        <v>12</v>
      </c>
      <c r="J7" s="7">
        <f>D7*I7</f>
        <v>5400</v>
      </c>
      <c r="K7" s="7">
        <f>F7+H7+J7</f>
        <v>5400</v>
      </c>
    </row>
    <row r="8" spans="2:11" x14ac:dyDescent="0.4">
      <c r="B8" s="21" t="s">
        <v>50</v>
      </c>
      <c r="C8" s="22" t="s">
        <v>51</v>
      </c>
      <c r="D8" s="24">
        <v>600</v>
      </c>
      <c r="E8" s="8">
        <v>1.2</v>
      </c>
      <c r="F8" s="8">
        <f>D8*E8</f>
        <v>720</v>
      </c>
      <c r="G8" s="8">
        <v>2.5</v>
      </c>
      <c r="H8" s="8">
        <f>D8*G8</f>
        <v>1500</v>
      </c>
      <c r="I8" s="8">
        <v>0</v>
      </c>
      <c r="J8" s="8">
        <f>D8*I8</f>
        <v>0</v>
      </c>
      <c r="K8" s="8">
        <f>F8+H8+J8</f>
        <v>2220</v>
      </c>
    </row>
    <row r="9" spans="2:11" x14ac:dyDescent="0.4">
      <c r="B9" s="18" t="s">
        <v>52</v>
      </c>
      <c r="C9" s="19" t="s">
        <v>53</v>
      </c>
      <c r="D9" s="20">
        <v>45</v>
      </c>
      <c r="E9" s="7">
        <v>0</v>
      </c>
      <c r="F9" s="7">
        <f>D9*E9</f>
        <v>0</v>
      </c>
      <c r="G9" s="7">
        <v>0</v>
      </c>
      <c r="H9" s="7">
        <f>D9*G9</f>
        <v>0</v>
      </c>
      <c r="I9" s="7">
        <v>95</v>
      </c>
      <c r="J9" s="7">
        <f>D9*I9</f>
        <v>4275</v>
      </c>
      <c r="K9" s="7">
        <f>F9+H9+J9</f>
        <v>4275</v>
      </c>
    </row>
    <row r="10" spans="2:11" x14ac:dyDescent="0.4">
      <c r="B10" s="25" t="s">
        <v>54</v>
      </c>
      <c r="C10" s="26"/>
      <c r="D10" s="26"/>
      <c r="E10" s="26"/>
      <c r="F10" s="10">
        <f>SUM(F5:F9)</f>
        <v>11970</v>
      </c>
      <c r="G10" s="26"/>
      <c r="H10" s="10">
        <f>SUM(H5:H9)</f>
        <v>1500</v>
      </c>
      <c r="I10" s="26"/>
      <c r="J10" s="10">
        <f>SUM(J5:J9)</f>
        <v>16425</v>
      </c>
      <c r="K10" s="10">
        <f>SUM(K5:K9)</f>
        <v>29895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K10"/>
  <sheetViews>
    <sheetView workbookViewId="0"/>
  </sheetViews>
  <sheetFormatPr defaultRowHeight="14.6" x14ac:dyDescent="0.4"/>
  <cols>
    <col min="1" max="1" width="11" customWidth="1"/>
    <col min="2" max="2" width="36" customWidth="1"/>
    <col min="3" max="4" width="11" customWidth="1"/>
    <col min="5" max="5" width="13" customWidth="1"/>
    <col min="6" max="6" width="14" customWidth="1"/>
    <col min="7" max="7" width="16" customWidth="1"/>
    <col min="8" max="8" width="17" customWidth="1"/>
    <col min="9" max="9" width="24" customWidth="1"/>
    <col min="10" max="10" width="20" customWidth="1"/>
    <col min="11" max="11" width="14" customWidth="1"/>
  </cols>
  <sheetData>
    <row r="2" spans="2:11" ht="20.149999999999999" x14ac:dyDescent="0.5">
      <c r="B2" s="1" t="s">
        <v>55</v>
      </c>
    </row>
    <row r="4" spans="2:11" x14ac:dyDescent="0.4">
      <c r="B4" s="4" t="s">
        <v>34</v>
      </c>
      <c r="C4" s="5" t="s">
        <v>35</v>
      </c>
      <c r="D4" s="17" t="s">
        <v>36</v>
      </c>
      <c r="E4" s="17" t="s">
        <v>37</v>
      </c>
      <c r="F4" s="17" t="s">
        <v>38</v>
      </c>
      <c r="G4" s="17" t="s">
        <v>39</v>
      </c>
      <c r="H4" s="17" t="s">
        <v>40</v>
      </c>
      <c r="I4" s="17" t="s">
        <v>41</v>
      </c>
      <c r="J4" s="17" t="s">
        <v>42</v>
      </c>
      <c r="K4" s="17" t="s">
        <v>43</v>
      </c>
    </row>
    <row r="5" spans="2:11" x14ac:dyDescent="0.4">
      <c r="B5" s="18" t="s">
        <v>56</v>
      </c>
      <c r="C5" s="19" t="s">
        <v>49</v>
      </c>
      <c r="D5" s="20">
        <v>85</v>
      </c>
      <c r="E5" s="7">
        <v>0</v>
      </c>
      <c r="F5" s="7">
        <f>D5*E5</f>
        <v>0</v>
      </c>
      <c r="G5" s="7">
        <v>135</v>
      </c>
      <c r="H5" s="7">
        <f>D5*G5</f>
        <v>11475</v>
      </c>
      <c r="I5" s="7">
        <v>45</v>
      </c>
      <c r="J5" s="7">
        <f>D5*I5</f>
        <v>3825</v>
      </c>
      <c r="K5" s="7">
        <f>F5+H5+J5</f>
        <v>15300</v>
      </c>
    </row>
    <row r="6" spans="2:11" x14ac:dyDescent="0.4">
      <c r="B6" s="21" t="s">
        <v>57</v>
      </c>
      <c r="C6" s="22" t="s">
        <v>45</v>
      </c>
      <c r="D6" s="24">
        <v>3200</v>
      </c>
      <c r="E6" s="8">
        <v>3.75</v>
      </c>
      <c r="F6" s="8">
        <f>D6*E6</f>
        <v>12000</v>
      </c>
      <c r="G6" s="8">
        <v>0</v>
      </c>
      <c r="H6" s="8">
        <f>D6*G6</f>
        <v>0</v>
      </c>
      <c r="I6" s="8">
        <v>0</v>
      </c>
      <c r="J6" s="8">
        <f>D6*I6</f>
        <v>0</v>
      </c>
      <c r="K6" s="8">
        <f>F6+H6+J6</f>
        <v>12000</v>
      </c>
    </row>
    <row r="7" spans="2:11" x14ac:dyDescent="0.4">
      <c r="B7" s="18" t="s">
        <v>58</v>
      </c>
      <c r="C7" s="19" t="s">
        <v>53</v>
      </c>
      <c r="D7" s="20">
        <v>4</v>
      </c>
      <c r="E7" s="7">
        <v>0</v>
      </c>
      <c r="F7" s="7">
        <f>D7*E7</f>
        <v>0</v>
      </c>
      <c r="G7" s="7">
        <v>1100</v>
      </c>
      <c r="H7" s="7">
        <f>D7*G7</f>
        <v>4400</v>
      </c>
      <c r="I7" s="7">
        <v>350</v>
      </c>
      <c r="J7" s="7">
        <f>D7*I7</f>
        <v>1400</v>
      </c>
      <c r="K7" s="7">
        <f>F7+H7+J7</f>
        <v>5800</v>
      </c>
    </row>
    <row r="8" spans="2:11" x14ac:dyDescent="0.4">
      <c r="B8" s="21" t="s">
        <v>59</v>
      </c>
      <c r="C8" s="22" t="s">
        <v>60</v>
      </c>
      <c r="D8" s="24">
        <v>1200</v>
      </c>
      <c r="E8" s="8">
        <v>4.5</v>
      </c>
      <c r="F8" s="8">
        <f>D8*E8</f>
        <v>5400</v>
      </c>
      <c r="G8" s="8">
        <v>3.8</v>
      </c>
      <c r="H8" s="8">
        <f>D8*G8</f>
        <v>4560</v>
      </c>
      <c r="I8" s="8">
        <v>0</v>
      </c>
      <c r="J8" s="8">
        <f>D8*I8</f>
        <v>0</v>
      </c>
      <c r="K8" s="8">
        <f>F8+H8+J8</f>
        <v>9960</v>
      </c>
    </row>
    <row r="9" spans="2:11" x14ac:dyDescent="0.4">
      <c r="B9" s="18" t="s">
        <v>61</v>
      </c>
      <c r="C9" s="19" t="s">
        <v>62</v>
      </c>
      <c r="D9" s="20">
        <v>3</v>
      </c>
      <c r="E9" s="7">
        <v>0</v>
      </c>
      <c r="F9" s="7">
        <f>D9*E9</f>
        <v>0</v>
      </c>
      <c r="G9" s="7">
        <v>0</v>
      </c>
      <c r="H9" s="7">
        <f>D9*G9</f>
        <v>0</v>
      </c>
      <c r="I9" s="7">
        <v>850</v>
      </c>
      <c r="J9" s="7">
        <f>D9*I9</f>
        <v>2550</v>
      </c>
      <c r="K9" s="7">
        <f>F9+H9+J9</f>
        <v>2550</v>
      </c>
    </row>
    <row r="10" spans="2:11" x14ac:dyDescent="0.4">
      <c r="B10" s="25" t="s">
        <v>63</v>
      </c>
      <c r="C10" s="26"/>
      <c r="D10" s="26"/>
      <c r="E10" s="26"/>
      <c r="F10" s="10">
        <f>SUM(F5:F9)</f>
        <v>17400</v>
      </c>
      <c r="G10" s="26"/>
      <c r="H10" s="10">
        <f>SUM(H5:H9)</f>
        <v>20435</v>
      </c>
      <c r="I10" s="26"/>
      <c r="J10" s="10">
        <f>SUM(J5:J9)</f>
        <v>7775</v>
      </c>
      <c r="K10" s="10">
        <f>SUM(K5:K9)</f>
        <v>45610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K10"/>
  <sheetViews>
    <sheetView workbookViewId="0"/>
  </sheetViews>
  <sheetFormatPr defaultRowHeight="14.6" x14ac:dyDescent="0.4"/>
  <cols>
    <col min="1" max="1" width="11" customWidth="1"/>
    <col min="2" max="2" width="38" customWidth="1"/>
    <col min="3" max="4" width="11" customWidth="1"/>
    <col min="5" max="5" width="13" customWidth="1"/>
    <col min="6" max="6" width="14" customWidth="1"/>
    <col min="7" max="7" width="16" customWidth="1"/>
    <col min="8" max="8" width="17" customWidth="1"/>
    <col min="9" max="9" width="24" customWidth="1"/>
    <col min="10" max="10" width="20" customWidth="1"/>
    <col min="11" max="11" width="14" customWidth="1"/>
  </cols>
  <sheetData>
    <row r="2" spans="2:11" ht="20.149999999999999" x14ac:dyDescent="0.5">
      <c r="B2" s="1" t="s">
        <v>64</v>
      </c>
    </row>
    <row r="4" spans="2:11" x14ac:dyDescent="0.4">
      <c r="B4" s="4" t="s">
        <v>34</v>
      </c>
      <c r="C4" s="5" t="s">
        <v>35</v>
      </c>
      <c r="D4" s="17" t="s">
        <v>36</v>
      </c>
      <c r="E4" s="17" t="s">
        <v>37</v>
      </c>
      <c r="F4" s="17" t="s">
        <v>38</v>
      </c>
      <c r="G4" s="17" t="s">
        <v>39</v>
      </c>
      <c r="H4" s="17" t="s">
        <v>40</v>
      </c>
      <c r="I4" s="17" t="s">
        <v>41</v>
      </c>
      <c r="J4" s="17" t="s">
        <v>42</v>
      </c>
      <c r="K4" s="17" t="s">
        <v>43</v>
      </c>
    </row>
    <row r="5" spans="2:11" x14ac:dyDescent="0.4">
      <c r="B5" s="18" t="s">
        <v>65</v>
      </c>
      <c r="C5" s="19" t="s">
        <v>51</v>
      </c>
      <c r="D5" s="20">
        <v>420</v>
      </c>
      <c r="E5" s="7">
        <v>14</v>
      </c>
      <c r="F5" s="7">
        <f>D5*E5</f>
        <v>5880</v>
      </c>
      <c r="G5" s="7">
        <v>18.5</v>
      </c>
      <c r="H5" s="7">
        <f>D5*G5</f>
        <v>7770</v>
      </c>
      <c r="I5" s="7">
        <v>0</v>
      </c>
      <c r="J5" s="7">
        <f>D5*I5</f>
        <v>0</v>
      </c>
      <c r="K5" s="7">
        <f>F5+H5+J5</f>
        <v>13650</v>
      </c>
    </row>
    <row r="6" spans="2:11" x14ac:dyDescent="0.4">
      <c r="B6" s="21" t="s">
        <v>66</v>
      </c>
      <c r="C6" s="22" t="s">
        <v>51</v>
      </c>
      <c r="D6" s="24">
        <v>680</v>
      </c>
      <c r="E6" s="8">
        <v>9.5</v>
      </c>
      <c r="F6" s="8">
        <f>D6*E6</f>
        <v>6460</v>
      </c>
      <c r="G6" s="8">
        <v>11</v>
      </c>
      <c r="H6" s="8">
        <f>D6*G6</f>
        <v>7480</v>
      </c>
      <c r="I6" s="8">
        <v>0</v>
      </c>
      <c r="J6" s="8">
        <f>D6*I6</f>
        <v>0</v>
      </c>
      <c r="K6" s="8">
        <f>F6+H6+J6</f>
        <v>13940</v>
      </c>
    </row>
    <row r="7" spans="2:11" x14ac:dyDescent="0.4">
      <c r="B7" s="18" t="s">
        <v>67</v>
      </c>
      <c r="C7" s="19" t="s">
        <v>68</v>
      </c>
      <c r="D7" s="20">
        <v>120</v>
      </c>
      <c r="E7" s="7">
        <v>8</v>
      </c>
      <c r="F7" s="7">
        <f>D7*E7</f>
        <v>960</v>
      </c>
      <c r="G7" s="7">
        <v>34</v>
      </c>
      <c r="H7" s="7">
        <f>D7*G7</f>
        <v>4080</v>
      </c>
      <c r="I7" s="7">
        <v>0</v>
      </c>
      <c r="J7" s="7">
        <f>D7*I7</f>
        <v>0</v>
      </c>
      <c r="K7" s="7">
        <f>F7+H7+J7</f>
        <v>5040</v>
      </c>
    </row>
    <row r="8" spans="2:11" x14ac:dyDescent="0.4">
      <c r="B8" s="21" t="s">
        <v>69</v>
      </c>
      <c r="C8" s="22" t="s">
        <v>60</v>
      </c>
      <c r="D8" s="24">
        <v>48</v>
      </c>
      <c r="E8" s="8">
        <v>0</v>
      </c>
      <c r="F8" s="8">
        <f>D8*E8</f>
        <v>0</v>
      </c>
      <c r="G8" s="8">
        <v>185</v>
      </c>
      <c r="H8" s="8">
        <f>D8*G8</f>
        <v>8880</v>
      </c>
      <c r="I8" s="8">
        <v>40</v>
      </c>
      <c r="J8" s="8">
        <f>D8*I8</f>
        <v>1920</v>
      </c>
      <c r="K8" s="8">
        <f>F8+H8+J8</f>
        <v>10800</v>
      </c>
    </row>
    <row r="9" spans="2:11" x14ac:dyDescent="0.4">
      <c r="B9" s="18" t="s">
        <v>70</v>
      </c>
      <c r="C9" s="19" t="s">
        <v>60</v>
      </c>
      <c r="D9" s="20">
        <v>4</v>
      </c>
      <c r="E9" s="7">
        <v>0</v>
      </c>
      <c r="F9" s="7">
        <f>D9*E9</f>
        <v>0</v>
      </c>
      <c r="G9" s="7">
        <v>1250</v>
      </c>
      <c r="H9" s="7">
        <f>D9*G9</f>
        <v>5000</v>
      </c>
      <c r="I9" s="7">
        <v>600</v>
      </c>
      <c r="J9" s="7">
        <f>D9*I9</f>
        <v>2400</v>
      </c>
      <c r="K9" s="7">
        <f>F9+H9+J9</f>
        <v>7400</v>
      </c>
    </row>
    <row r="10" spans="2:11" x14ac:dyDescent="0.4">
      <c r="B10" s="25" t="s">
        <v>71</v>
      </c>
      <c r="C10" s="26"/>
      <c r="D10" s="26"/>
      <c r="E10" s="26"/>
      <c r="F10" s="10">
        <f>SUM(F5:F9)</f>
        <v>13300</v>
      </c>
      <c r="G10" s="26"/>
      <c r="H10" s="10">
        <f>SUM(H5:H9)</f>
        <v>33210</v>
      </c>
      <c r="I10" s="26"/>
      <c r="J10" s="10">
        <f>SUM(J5:J9)</f>
        <v>4320</v>
      </c>
      <c r="K10" s="10">
        <f>SUM(K5:K9)</f>
        <v>50830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K10"/>
  <sheetViews>
    <sheetView workbookViewId="0"/>
  </sheetViews>
  <sheetFormatPr defaultRowHeight="14.6" x14ac:dyDescent="0.4"/>
  <cols>
    <col min="1" max="1" width="11" customWidth="1"/>
    <col min="2" max="2" width="35" customWidth="1"/>
    <col min="3" max="4" width="11" customWidth="1"/>
    <col min="5" max="5" width="13" customWidth="1"/>
    <col min="6" max="6" width="14" customWidth="1"/>
    <col min="7" max="7" width="16" customWidth="1"/>
    <col min="8" max="8" width="17" customWidth="1"/>
    <col min="9" max="9" width="24" customWidth="1"/>
    <col min="10" max="10" width="20" customWidth="1"/>
    <col min="11" max="11" width="14" customWidth="1"/>
  </cols>
  <sheetData>
    <row r="2" spans="2:11" ht="20.149999999999999" x14ac:dyDescent="0.5">
      <c r="B2" s="1" t="s">
        <v>72</v>
      </c>
    </row>
    <row r="4" spans="2:11" x14ac:dyDescent="0.4">
      <c r="B4" s="4" t="s">
        <v>34</v>
      </c>
      <c r="C4" s="5" t="s">
        <v>35</v>
      </c>
      <c r="D4" s="17" t="s">
        <v>36</v>
      </c>
      <c r="E4" s="17" t="s">
        <v>37</v>
      </c>
      <c r="F4" s="17" t="s">
        <v>38</v>
      </c>
      <c r="G4" s="17" t="s">
        <v>39</v>
      </c>
      <c r="H4" s="17" t="s">
        <v>40</v>
      </c>
      <c r="I4" s="17" t="s">
        <v>41</v>
      </c>
      <c r="J4" s="17" t="s">
        <v>42</v>
      </c>
      <c r="K4" s="17" t="s">
        <v>43</v>
      </c>
    </row>
    <row r="5" spans="2:11" x14ac:dyDescent="0.4">
      <c r="B5" s="18" t="s">
        <v>73</v>
      </c>
      <c r="C5" s="19" t="s">
        <v>74</v>
      </c>
      <c r="D5" s="20">
        <v>38</v>
      </c>
      <c r="E5" s="7">
        <v>75</v>
      </c>
      <c r="F5" s="7">
        <f>D5*E5</f>
        <v>2850</v>
      </c>
      <c r="G5" s="7">
        <v>145</v>
      </c>
      <c r="H5" s="7">
        <f>D5*G5</f>
        <v>5510</v>
      </c>
      <c r="I5" s="7">
        <v>0</v>
      </c>
      <c r="J5" s="7">
        <f>D5*I5</f>
        <v>0</v>
      </c>
      <c r="K5" s="7">
        <f>F5+H5+J5</f>
        <v>8360</v>
      </c>
    </row>
    <row r="6" spans="2:11" x14ac:dyDescent="0.4">
      <c r="B6" s="21" t="s">
        <v>75</v>
      </c>
      <c r="C6" s="22" t="s">
        <v>76</v>
      </c>
      <c r="D6" s="24">
        <v>9</v>
      </c>
      <c r="E6" s="8">
        <v>20</v>
      </c>
      <c r="F6" s="8">
        <f>D6*E6</f>
        <v>180</v>
      </c>
      <c r="G6" s="8">
        <v>85</v>
      </c>
      <c r="H6" s="8">
        <f>D6*G6</f>
        <v>765</v>
      </c>
      <c r="I6" s="8">
        <v>0</v>
      </c>
      <c r="J6" s="8">
        <f>D6*I6</f>
        <v>0</v>
      </c>
      <c r="K6" s="8">
        <f>F6+H6+J6</f>
        <v>945</v>
      </c>
    </row>
    <row r="7" spans="2:11" x14ac:dyDescent="0.4">
      <c r="B7" s="18" t="s">
        <v>77</v>
      </c>
      <c r="C7" s="19" t="s">
        <v>51</v>
      </c>
      <c r="D7" s="20">
        <v>240</v>
      </c>
      <c r="E7" s="7">
        <v>4</v>
      </c>
      <c r="F7" s="7">
        <f>D7*E7</f>
        <v>960</v>
      </c>
      <c r="G7" s="7">
        <v>5.5</v>
      </c>
      <c r="H7" s="7">
        <f>D7*G7</f>
        <v>1320</v>
      </c>
      <c r="I7" s="7">
        <v>0</v>
      </c>
      <c r="J7" s="7">
        <f>D7*I7</f>
        <v>0</v>
      </c>
      <c r="K7" s="7">
        <f>F7+H7+J7</f>
        <v>2280</v>
      </c>
    </row>
    <row r="8" spans="2:11" x14ac:dyDescent="0.4">
      <c r="B8" s="21" t="s">
        <v>78</v>
      </c>
      <c r="C8" s="22" t="s">
        <v>45</v>
      </c>
      <c r="D8" s="24">
        <v>2800</v>
      </c>
      <c r="E8" s="8">
        <v>4.25</v>
      </c>
      <c r="F8" s="8">
        <f>D8*E8</f>
        <v>11900</v>
      </c>
      <c r="G8" s="8">
        <v>3.9</v>
      </c>
      <c r="H8" s="8">
        <f>D8*G8</f>
        <v>10920</v>
      </c>
      <c r="I8" s="8">
        <v>0</v>
      </c>
      <c r="J8" s="8">
        <f>D8*I8</f>
        <v>0</v>
      </c>
      <c r="K8" s="8">
        <f>F8+H8+J8</f>
        <v>22820</v>
      </c>
    </row>
    <row r="9" spans="2:11" x14ac:dyDescent="0.4">
      <c r="B9" s="18" t="s">
        <v>79</v>
      </c>
      <c r="C9" s="19" t="s">
        <v>76</v>
      </c>
      <c r="D9" s="20">
        <v>6</v>
      </c>
      <c r="E9" s="7">
        <v>15</v>
      </c>
      <c r="F9" s="7">
        <f>D9*E9</f>
        <v>90</v>
      </c>
      <c r="G9" s="7">
        <v>160</v>
      </c>
      <c r="H9" s="7">
        <f>D9*G9</f>
        <v>960</v>
      </c>
      <c r="I9" s="7">
        <v>0</v>
      </c>
      <c r="J9" s="7">
        <f>D9*I9</f>
        <v>0</v>
      </c>
      <c r="K9" s="7">
        <f>F9+H9+J9</f>
        <v>1050</v>
      </c>
    </row>
    <row r="10" spans="2:11" x14ac:dyDescent="0.4">
      <c r="B10" s="25" t="s">
        <v>80</v>
      </c>
      <c r="C10" s="26"/>
      <c r="D10" s="26"/>
      <c r="E10" s="26"/>
      <c r="F10" s="10">
        <f>SUM(F5:F9)</f>
        <v>15980</v>
      </c>
      <c r="G10" s="26"/>
      <c r="H10" s="10">
        <f>SUM(H5:H9)</f>
        <v>19475</v>
      </c>
      <c r="I10" s="26"/>
      <c r="J10" s="10">
        <f>SUM(J5:J9)</f>
        <v>0</v>
      </c>
      <c r="K10" s="10">
        <f>SUM(K5:K9)</f>
        <v>35455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K10"/>
  <sheetViews>
    <sheetView workbookViewId="0"/>
  </sheetViews>
  <sheetFormatPr defaultRowHeight="14.6" x14ac:dyDescent="0.4"/>
  <cols>
    <col min="1" max="1" width="11" customWidth="1"/>
    <col min="2" max="2" width="38" customWidth="1"/>
    <col min="3" max="4" width="11" customWidth="1"/>
    <col min="5" max="5" width="13" customWidth="1"/>
    <col min="6" max="6" width="14" customWidth="1"/>
    <col min="7" max="7" width="16" customWidth="1"/>
    <col min="8" max="8" width="17" customWidth="1"/>
    <col min="9" max="9" width="24" customWidth="1"/>
    <col min="10" max="10" width="20" customWidth="1"/>
    <col min="11" max="11" width="14" customWidth="1"/>
  </cols>
  <sheetData>
    <row r="2" spans="2:11" ht="20.149999999999999" x14ac:dyDescent="0.5">
      <c r="B2" s="1" t="s">
        <v>81</v>
      </c>
    </row>
    <row r="4" spans="2:11" x14ac:dyDescent="0.4">
      <c r="B4" s="4" t="s">
        <v>34</v>
      </c>
      <c r="C4" s="5" t="s">
        <v>35</v>
      </c>
      <c r="D4" s="17" t="s">
        <v>36</v>
      </c>
      <c r="E4" s="17" t="s">
        <v>37</v>
      </c>
      <c r="F4" s="17" t="s">
        <v>38</v>
      </c>
      <c r="G4" s="17" t="s">
        <v>39</v>
      </c>
      <c r="H4" s="17" t="s">
        <v>40</v>
      </c>
      <c r="I4" s="17" t="s">
        <v>41</v>
      </c>
      <c r="J4" s="17" t="s">
        <v>42</v>
      </c>
      <c r="K4" s="17" t="s">
        <v>43</v>
      </c>
    </row>
    <row r="5" spans="2:11" x14ac:dyDescent="0.4">
      <c r="B5" s="18" t="s">
        <v>82</v>
      </c>
      <c r="C5" s="19" t="s">
        <v>60</v>
      </c>
      <c r="D5" s="20">
        <v>24</v>
      </c>
      <c r="E5" s="7">
        <v>65</v>
      </c>
      <c r="F5" s="7">
        <f>D5*E5</f>
        <v>1560</v>
      </c>
      <c r="G5" s="7">
        <v>320</v>
      </c>
      <c r="H5" s="7">
        <f>D5*G5</f>
        <v>7680</v>
      </c>
      <c r="I5" s="7">
        <v>0</v>
      </c>
      <c r="J5" s="7">
        <f>D5*I5</f>
        <v>0</v>
      </c>
      <c r="K5" s="7">
        <f>F5+H5+J5</f>
        <v>9240</v>
      </c>
    </row>
    <row r="6" spans="2:11" x14ac:dyDescent="0.4">
      <c r="B6" s="21" t="s">
        <v>83</v>
      </c>
      <c r="C6" s="22" t="s">
        <v>60</v>
      </c>
      <c r="D6" s="24">
        <v>3</v>
      </c>
      <c r="E6" s="8">
        <v>150</v>
      </c>
      <c r="F6" s="8">
        <f>D6*E6</f>
        <v>450</v>
      </c>
      <c r="G6" s="8">
        <v>650</v>
      </c>
      <c r="H6" s="8">
        <f>D6*G6</f>
        <v>1950</v>
      </c>
      <c r="I6" s="8">
        <v>0</v>
      </c>
      <c r="J6" s="8">
        <f>D6*I6</f>
        <v>0</v>
      </c>
      <c r="K6" s="8">
        <f>F6+H6+J6</f>
        <v>2400</v>
      </c>
    </row>
    <row r="7" spans="2:11" x14ac:dyDescent="0.4">
      <c r="B7" s="18" t="s">
        <v>84</v>
      </c>
      <c r="C7" s="19" t="s">
        <v>60</v>
      </c>
      <c r="D7" s="20">
        <v>18</v>
      </c>
      <c r="E7" s="7">
        <v>45</v>
      </c>
      <c r="F7" s="7">
        <f>D7*E7</f>
        <v>810</v>
      </c>
      <c r="G7" s="7">
        <v>140</v>
      </c>
      <c r="H7" s="7">
        <f>D7*G7</f>
        <v>2520</v>
      </c>
      <c r="I7" s="7">
        <v>0</v>
      </c>
      <c r="J7" s="7">
        <f>D7*I7</f>
        <v>0</v>
      </c>
      <c r="K7" s="7">
        <f>F7+H7+J7</f>
        <v>3330</v>
      </c>
    </row>
    <row r="8" spans="2:11" x14ac:dyDescent="0.4">
      <c r="B8" s="21" t="s">
        <v>85</v>
      </c>
      <c r="C8" s="22" t="s">
        <v>60</v>
      </c>
      <c r="D8" s="24">
        <v>2</v>
      </c>
      <c r="E8" s="8">
        <v>250</v>
      </c>
      <c r="F8" s="8">
        <f>D8*E8</f>
        <v>500</v>
      </c>
      <c r="G8" s="8">
        <v>1100</v>
      </c>
      <c r="H8" s="8">
        <f>D8*G8</f>
        <v>2200</v>
      </c>
      <c r="I8" s="8">
        <v>0</v>
      </c>
      <c r="J8" s="8">
        <f>D8*I8</f>
        <v>0</v>
      </c>
      <c r="K8" s="8">
        <f>F8+H8+J8</f>
        <v>2700</v>
      </c>
    </row>
    <row r="9" spans="2:11" x14ac:dyDescent="0.4">
      <c r="B9" s="18" t="s">
        <v>86</v>
      </c>
      <c r="C9" s="19" t="s">
        <v>87</v>
      </c>
      <c r="D9" s="20">
        <v>1</v>
      </c>
      <c r="E9" s="7">
        <v>0</v>
      </c>
      <c r="F9" s="7">
        <f>D9*E9</f>
        <v>0</v>
      </c>
      <c r="G9" s="7">
        <v>450</v>
      </c>
      <c r="H9" s="7">
        <f>D9*G9</f>
        <v>450</v>
      </c>
      <c r="I9" s="7">
        <v>0</v>
      </c>
      <c r="J9" s="7">
        <f>D9*I9</f>
        <v>0</v>
      </c>
      <c r="K9" s="7">
        <f>F9+H9+J9</f>
        <v>450</v>
      </c>
    </row>
    <row r="10" spans="2:11" x14ac:dyDescent="0.4">
      <c r="B10" s="25" t="s">
        <v>88</v>
      </c>
      <c r="C10" s="26"/>
      <c r="D10" s="26"/>
      <c r="E10" s="26"/>
      <c r="F10" s="10">
        <f>SUM(F5:F9)</f>
        <v>3320</v>
      </c>
      <c r="G10" s="26"/>
      <c r="H10" s="10">
        <f>SUM(H5:H9)</f>
        <v>14800</v>
      </c>
      <c r="I10" s="26"/>
      <c r="J10" s="10">
        <f>SUM(J5:J9)</f>
        <v>0</v>
      </c>
      <c r="K10" s="10">
        <f>SUM(K5:K9)</f>
        <v>18120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K10"/>
  <sheetViews>
    <sheetView workbookViewId="0"/>
  </sheetViews>
  <sheetFormatPr defaultRowHeight="14.6" x14ac:dyDescent="0.4"/>
  <cols>
    <col min="1" max="1" width="11" customWidth="1"/>
    <col min="2" max="2" width="36" customWidth="1"/>
    <col min="3" max="4" width="11" customWidth="1"/>
    <col min="5" max="5" width="13" customWidth="1"/>
    <col min="6" max="6" width="14" customWidth="1"/>
    <col min="7" max="7" width="16" customWidth="1"/>
    <col min="8" max="8" width="17" customWidth="1"/>
    <col min="9" max="9" width="24" customWidth="1"/>
    <col min="10" max="10" width="20" customWidth="1"/>
    <col min="11" max="11" width="14" customWidth="1"/>
  </cols>
  <sheetData>
    <row r="2" spans="2:11" ht="20.149999999999999" x14ac:dyDescent="0.5">
      <c r="B2" s="1" t="s">
        <v>89</v>
      </c>
    </row>
    <row r="4" spans="2:11" x14ac:dyDescent="0.4">
      <c r="B4" s="4" t="s">
        <v>34</v>
      </c>
      <c r="C4" s="5" t="s">
        <v>35</v>
      </c>
      <c r="D4" s="17" t="s">
        <v>36</v>
      </c>
      <c r="E4" s="17" t="s">
        <v>37</v>
      </c>
      <c r="F4" s="17" t="s">
        <v>38</v>
      </c>
      <c r="G4" s="17" t="s">
        <v>39</v>
      </c>
      <c r="H4" s="17" t="s">
        <v>40</v>
      </c>
      <c r="I4" s="17" t="s">
        <v>41</v>
      </c>
      <c r="J4" s="17" t="s">
        <v>42</v>
      </c>
      <c r="K4" s="17" t="s">
        <v>43</v>
      </c>
    </row>
    <row r="5" spans="2:11" x14ac:dyDescent="0.4">
      <c r="B5" s="18" t="s">
        <v>90</v>
      </c>
      <c r="C5" s="19" t="s">
        <v>68</v>
      </c>
      <c r="D5" s="20">
        <v>220</v>
      </c>
      <c r="E5" s="7">
        <v>18</v>
      </c>
      <c r="F5" s="7">
        <f>D5*E5</f>
        <v>3960</v>
      </c>
      <c r="G5" s="7">
        <v>16.5</v>
      </c>
      <c r="H5" s="7">
        <f>D5*G5</f>
        <v>3630</v>
      </c>
      <c r="I5" s="7">
        <v>0</v>
      </c>
      <c r="J5" s="7">
        <f>D5*I5</f>
        <v>0</v>
      </c>
      <c r="K5" s="7">
        <f>F5+H5+J5</f>
        <v>7590</v>
      </c>
    </row>
    <row r="6" spans="2:11" x14ac:dyDescent="0.4">
      <c r="B6" s="21" t="s">
        <v>91</v>
      </c>
      <c r="C6" s="22" t="s">
        <v>45</v>
      </c>
      <c r="D6" s="24">
        <v>7200</v>
      </c>
      <c r="E6" s="8">
        <v>1.1499999999999999</v>
      </c>
      <c r="F6" s="8">
        <f>D6*E6</f>
        <v>8280</v>
      </c>
      <c r="G6" s="8">
        <v>0.2</v>
      </c>
      <c r="H6" s="8">
        <f>D6*G6</f>
        <v>1440</v>
      </c>
      <c r="I6" s="8">
        <v>0</v>
      </c>
      <c r="J6" s="8">
        <f>D6*I6</f>
        <v>0</v>
      </c>
      <c r="K6" s="8">
        <f>F6+H6+J6</f>
        <v>9720</v>
      </c>
    </row>
    <row r="7" spans="2:11" x14ac:dyDescent="0.4">
      <c r="B7" s="18" t="s">
        <v>92</v>
      </c>
      <c r="C7" s="19" t="s">
        <v>45</v>
      </c>
      <c r="D7" s="20">
        <v>6500</v>
      </c>
      <c r="E7" s="7">
        <v>1.8</v>
      </c>
      <c r="F7" s="7">
        <f>D7*E7</f>
        <v>11700</v>
      </c>
      <c r="G7" s="7">
        <v>0.65</v>
      </c>
      <c r="H7" s="7">
        <f>D7*G7</f>
        <v>4225</v>
      </c>
      <c r="I7" s="7">
        <v>0</v>
      </c>
      <c r="J7" s="7">
        <f>D7*I7</f>
        <v>0</v>
      </c>
      <c r="K7" s="7">
        <f>F7+H7+J7</f>
        <v>15925</v>
      </c>
    </row>
    <row r="8" spans="2:11" x14ac:dyDescent="0.4">
      <c r="B8" s="21" t="s">
        <v>93</v>
      </c>
      <c r="C8" s="22" t="s">
        <v>45</v>
      </c>
      <c r="D8" s="24">
        <v>1800</v>
      </c>
      <c r="E8" s="8">
        <v>4.5</v>
      </c>
      <c r="F8" s="8">
        <f>D8*E8</f>
        <v>8100</v>
      </c>
      <c r="G8" s="8">
        <v>6.75</v>
      </c>
      <c r="H8" s="8">
        <f>D8*G8</f>
        <v>12150</v>
      </c>
      <c r="I8" s="8">
        <v>0</v>
      </c>
      <c r="J8" s="8">
        <f>D8*I8</f>
        <v>0</v>
      </c>
      <c r="K8" s="8">
        <f>F8+H8+J8</f>
        <v>20250</v>
      </c>
    </row>
    <row r="9" spans="2:11" x14ac:dyDescent="0.4">
      <c r="B9" s="18" t="s">
        <v>94</v>
      </c>
      <c r="C9" s="19" t="s">
        <v>45</v>
      </c>
      <c r="D9" s="20">
        <v>450</v>
      </c>
      <c r="E9" s="7">
        <v>8.5</v>
      </c>
      <c r="F9" s="7">
        <f>D9*E9</f>
        <v>3825</v>
      </c>
      <c r="G9" s="7">
        <v>5</v>
      </c>
      <c r="H9" s="7">
        <f>D9*G9</f>
        <v>2250</v>
      </c>
      <c r="I9" s="7">
        <v>0</v>
      </c>
      <c r="J9" s="7">
        <f>D9*I9</f>
        <v>0</v>
      </c>
      <c r="K9" s="7">
        <f>F9+H9+J9</f>
        <v>6075</v>
      </c>
    </row>
    <row r="10" spans="2:11" x14ac:dyDescent="0.4">
      <c r="B10" s="25" t="s">
        <v>95</v>
      </c>
      <c r="C10" s="26"/>
      <c r="D10" s="26"/>
      <c r="E10" s="26"/>
      <c r="F10" s="10">
        <f>SUM(F5:F9)</f>
        <v>35865</v>
      </c>
      <c r="G10" s="26"/>
      <c r="H10" s="10">
        <f>SUM(H5:H9)</f>
        <v>23695</v>
      </c>
      <c r="I10" s="26"/>
      <c r="J10" s="10">
        <f>SUM(J5:J9)</f>
        <v>0</v>
      </c>
      <c r="K10" s="10">
        <f>SUM(K5:K9)</f>
        <v>59560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K10"/>
  <sheetViews>
    <sheetView workbookViewId="0"/>
  </sheetViews>
  <sheetFormatPr defaultRowHeight="14.6" x14ac:dyDescent="0.4"/>
  <cols>
    <col min="1" max="1" width="11" customWidth="1"/>
    <col min="2" max="2" width="40" customWidth="1"/>
    <col min="3" max="4" width="11" customWidth="1"/>
    <col min="5" max="5" width="13" customWidth="1"/>
    <col min="6" max="6" width="14" customWidth="1"/>
    <col min="7" max="7" width="16" customWidth="1"/>
    <col min="8" max="8" width="17" customWidth="1"/>
    <col min="9" max="9" width="24" customWidth="1"/>
    <col min="10" max="10" width="20" customWidth="1"/>
    <col min="11" max="11" width="14" customWidth="1"/>
  </cols>
  <sheetData>
    <row r="2" spans="2:11" ht="20.149999999999999" x14ac:dyDescent="0.5">
      <c r="B2" s="1" t="s">
        <v>96</v>
      </c>
    </row>
    <row r="4" spans="2:11" x14ac:dyDescent="0.4">
      <c r="B4" s="4" t="s">
        <v>34</v>
      </c>
      <c r="C4" s="5" t="s">
        <v>35</v>
      </c>
      <c r="D4" s="17" t="s">
        <v>36</v>
      </c>
      <c r="E4" s="17" t="s">
        <v>37</v>
      </c>
      <c r="F4" s="17" t="s">
        <v>38</v>
      </c>
      <c r="G4" s="17" t="s">
        <v>39</v>
      </c>
      <c r="H4" s="17" t="s">
        <v>40</v>
      </c>
      <c r="I4" s="17" t="s">
        <v>41</v>
      </c>
      <c r="J4" s="17" t="s">
        <v>42</v>
      </c>
      <c r="K4" s="17" t="s">
        <v>43</v>
      </c>
    </row>
    <row r="5" spans="2:11" x14ac:dyDescent="0.4">
      <c r="B5" s="18" t="s">
        <v>97</v>
      </c>
      <c r="C5" s="19" t="s">
        <v>98</v>
      </c>
      <c r="D5" s="20">
        <v>14</v>
      </c>
      <c r="E5" s="7">
        <v>0</v>
      </c>
      <c r="F5" s="7">
        <f>D5*E5</f>
        <v>0</v>
      </c>
      <c r="G5" s="7">
        <v>0</v>
      </c>
      <c r="H5" s="7">
        <f>D5*G5</f>
        <v>0</v>
      </c>
      <c r="I5" s="7">
        <v>650</v>
      </c>
      <c r="J5" s="7">
        <f>D5*I5</f>
        <v>9100</v>
      </c>
      <c r="K5" s="7">
        <f>F5+H5+J5</f>
        <v>9100</v>
      </c>
    </row>
    <row r="6" spans="2:11" x14ac:dyDescent="0.4">
      <c r="B6" s="21" t="s">
        <v>99</v>
      </c>
      <c r="C6" s="22" t="s">
        <v>100</v>
      </c>
      <c r="D6" s="24">
        <v>1</v>
      </c>
      <c r="E6" s="8">
        <v>0</v>
      </c>
      <c r="F6" s="8">
        <f>D6*E6</f>
        <v>0</v>
      </c>
      <c r="G6" s="8">
        <v>0</v>
      </c>
      <c r="H6" s="8">
        <f>D6*G6</f>
        <v>0</v>
      </c>
      <c r="I6" s="8">
        <v>2400</v>
      </c>
      <c r="J6" s="8">
        <f>D6*I6</f>
        <v>2400</v>
      </c>
      <c r="K6" s="8">
        <f>F6+H6+J6</f>
        <v>2400</v>
      </c>
    </row>
    <row r="7" spans="2:11" x14ac:dyDescent="0.4">
      <c r="B7" s="18" t="s">
        <v>101</v>
      </c>
      <c r="C7" s="19" t="s">
        <v>60</v>
      </c>
      <c r="D7" s="20">
        <v>1</v>
      </c>
      <c r="E7" s="7">
        <v>0</v>
      </c>
      <c r="F7" s="7">
        <f>D7*E7</f>
        <v>0</v>
      </c>
      <c r="G7" s="7">
        <v>0</v>
      </c>
      <c r="H7" s="7">
        <f>D7*G7</f>
        <v>0</v>
      </c>
      <c r="I7" s="7">
        <v>3200</v>
      </c>
      <c r="J7" s="7">
        <f>D7*I7</f>
        <v>3200</v>
      </c>
      <c r="K7" s="7">
        <f>F7+H7+J7</f>
        <v>3200</v>
      </c>
    </row>
    <row r="8" spans="2:11" x14ac:dyDescent="0.4">
      <c r="B8" s="21" t="s">
        <v>102</v>
      </c>
      <c r="C8" s="22" t="s">
        <v>98</v>
      </c>
      <c r="D8" s="24">
        <v>14</v>
      </c>
      <c r="E8" s="8">
        <v>0</v>
      </c>
      <c r="F8" s="8">
        <f>D8*E8</f>
        <v>0</v>
      </c>
      <c r="G8" s="8">
        <v>0</v>
      </c>
      <c r="H8" s="8">
        <f>D8*G8</f>
        <v>0</v>
      </c>
      <c r="I8" s="8">
        <v>180</v>
      </c>
      <c r="J8" s="8">
        <f>D8*I8</f>
        <v>2520</v>
      </c>
      <c r="K8" s="8">
        <f>F8+H8+J8</f>
        <v>2520</v>
      </c>
    </row>
    <row r="9" spans="2:11" x14ac:dyDescent="0.4">
      <c r="B9" s="18" t="s">
        <v>103</v>
      </c>
      <c r="C9" s="19" t="s">
        <v>100</v>
      </c>
      <c r="D9" s="20">
        <v>1</v>
      </c>
      <c r="E9" s="7">
        <v>0</v>
      </c>
      <c r="F9" s="7">
        <f>D9*E9</f>
        <v>0</v>
      </c>
      <c r="G9" s="7">
        <v>0</v>
      </c>
      <c r="H9" s="7">
        <f>D9*G9</f>
        <v>0</v>
      </c>
      <c r="I9" s="7">
        <v>1450</v>
      </c>
      <c r="J9" s="7">
        <f>D9*I9</f>
        <v>1450</v>
      </c>
      <c r="K9" s="7">
        <f>F9+H9+J9</f>
        <v>1450</v>
      </c>
    </row>
    <row r="10" spans="2:11" x14ac:dyDescent="0.4">
      <c r="B10" s="25" t="s">
        <v>104</v>
      </c>
      <c r="C10" s="26"/>
      <c r="D10" s="26"/>
      <c r="E10" s="26"/>
      <c r="F10" s="10">
        <f>SUM(F5:F9)</f>
        <v>0</v>
      </c>
      <c r="G10" s="26"/>
      <c r="H10" s="10">
        <f>SUM(H5:H9)</f>
        <v>0</v>
      </c>
      <c r="I10" s="26"/>
      <c r="J10" s="10">
        <f>SUM(J5:J9)</f>
        <v>18670</v>
      </c>
      <c r="K10" s="10">
        <f>SUM(K5:K9)</f>
        <v>18670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K10"/>
  <sheetViews>
    <sheetView workbookViewId="0"/>
  </sheetViews>
  <sheetFormatPr defaultRowHeight="14.6" x14ac:dyDescent="0.4"/>
  <cols>
    <col min="1" max="1" width="11" customWidth="1"/>
    <col min="2" max="2" width="37" customWidth="1"/>
    <col min="3" max="4" width="11" customWidth="1"/>
    <col min="5" max="5" width="13" customWidth="1"/>
    <col min="6" max="6" width="14" customWidth="1"/>
    <col min="7" max="7" width="16" customWidth="1"/>
    <col min="8" max="8" width="17" customWidth="1"/>
    <col min="9" max="9" width="24" customWidth="1"/>
    <col min="10" max="10" width="20" customWidth="1"/>
    <col min="11" max="11" width="14" customWidth="1"/>
  </cols>
  <sheetData>
    <row r="2" spans="2:11" ht="20.149999999999999" x14ac:dyDescent="0.5">
      <c r="B2" s="1" t="s">
        <v>105</v>
      </c>
    </row>
    <row r="4" spans="2:11" x14ac:dyDescent="0.4">
      <c r="B4" s="4" t="s">
        <v>34</v>
      </c>
      <c r="C4" s="5" t="s">
        <v>35</v>
      </c>
      <c r="D4" s="17" t="s">
        <v>36</v>
      </c>
      <c r="E4" s="17" t="s">
        <v>37</v>
      </c>
      <c r="F4" s="17" t="s">
        <v>38</v>
      </c>
      <c r="G4" s="17" t="s">
        <v>39</v>
      </c>
      <c r="H4" s="17" t="s">
        <v>40</v>
      </c>
      <c r="I4" s="17" t="s">
        <v>41</v>
      </c>
      <c r="J4" s="17" t="s">
        <v>42</v>
      </c>
      <c r="K4" s="17" t="s">
        <v>43</v>
      </c>
    </row>
    <row r="5" spans="2:11" x14ac:dyDescent="0.4">
      <c r="B5" s="18" t="s">
        <v>106</v>
      </c>
      <c r="C5" s="19" t="s">
        <v>45</v>
      </c>
      <c r="D5" s="20">
        <v>3200</v>
      </c>
      <c r="E5" s="7">
        <v>0</v>
      </c>
      <c r="F5" s="7">
        <f>D5*E5</f>
        <v>0</v>
      </c>
      <c r="G5" s="7">
        <v>0</v>
      </c>
      <c r="H5" s="7">
        <f>D5*G5</f>
        <v>0</v>
      </c>
      <c r="I5" s="7">
        <v>3.8</v>
      </c>
      <c r="J5" s="7">
        <f>D5*I5</f>
        <v>12160</v>
      </c>
      <c r="K5" s="7">
        <f>F5+H5+J5</f>
        <v>12160</v>
      </c>
    </row>
    <row r="6" spans="2:11" x14ac:dyDescent="0.4">
      <c r="B6" s="21" t="s">
        <v>107</v>
      </c>
      <c r="C6" s="22" t="s">
        <v>60</v>
      </c>
      <c r="D6" s="24">
        <v>2</v>
      </c>
      <c r="E6" s="8">
        <v>0</v>
      </c>
      <c r="F6" s="8">
        <f>D6*E6</f>
        <v>0</v>
      </c>
      <c r="G6" s="8">
        <v>0</v>
      </c>
      <c r="H6" s="8">
        <f>D6*G6</f>
        <v>0</v>
      </c>
      <c r="I6" s="8">
        <v>6800</v>
      </c>
      <c r="J6" s="8">
        <f>D6*I6</f>
        <v>13600</v>
      </c>
      <c r="K6" s="8">
        <f>F6+H6+J6</f>
        <v>13600</v>
      </c>
    </row>
    <row r="7" spans="2:11" x14ac:dyDescent="0.4">
      <c r="B7" s="18" t="s">
        <v>108</v>
      </c>
      <c r="C7" s="19" t="s">
        <v>60</v>
      </c>
      <c r="D7" s="20">
        <v>2</v>
      </c>
      <c r="E7" s="7">
        <v>0</v>
      </c>
      <c r="F7" s="7">
        <f>D7*E7</f>
        <v>0</v>
      </c>
      <c r="G7" s="7">
        <v>0</v>
      </c>
      <c r="H7" s="7">
        <f>D7*G7</f>
        <v>0</v>
      </c>
      <c r="I7" s="7">
        <v>250</v>
      </c>
      <c r="J7" s="7">
        <f>D7*I7</f>
        <v>500</v>
      </c>
      <c r="K7" s="7">
        <f>F7+H7+J7</f>
        <v>500</v>
      </c>
    </row>
    <row r="8" spans="2:11" x14ac:dyDescent="0.4">
      <c r="B8" s="21" t="s">
        <v>109</v>
      </c>
      <c r="C8" s="22" t="s">
        <v>51</v>
      </c>
      <c r="D8" s="24">
        <v>80</v>
      </c>
      <c r="E8" s="8">
        <v>0</v>
      </c>
      <c r="F8" s="8">
        <f>D8*E8</f>
        <v>0</v>
      </c>
      <c r="G8" s="8">
        <v>0</v>
      </c>
      <c r="H8" s="8">
        <f>D8*G8</f>
        <v>0</v>
      </c>
      <c r="I8" s="8">
        <v>28</v>
      </c>
      <c r="J8" s="8">
        <f>D8*I8</f>
        <v>2240</v>
      </c>
      <c r="K8" s="8">
        <f>F8+H8+J8</f>
        <v>2240</v>
      </c>
    </row>
    <row r="9" spans="2:11" x14ac:dyDescent="0.4">
      <c r="B9" s="18" t="s">
        <v>110</v>
      </c>
      <c r="C9" s="19" t="s">
        <v>100</v>
      </c>
      <c r="D9" s="20">
        <v>1</v>
      </c>
      <c r="E9" s="7">
        <v>0</v>
      </c>
      <c r="F9" s="7">
        <f>D9*E9</f>
        <v>0</v>
      </c>
      <c r="G9" s="7">
        <v>0</v>
      </c>
      <c r="H9" s="7">
        <f>D9*G9</f>
        <v>0</v>
      </c>
      <c r="I9" s="7">
        <v>750</v>
      </c>
      <c r="J9" s="7">
        <f>D9*I9</f>
        <v>750</v>
      </c>
      <c r="K9" s="7">
        <f>F9+H9+J9</f>
        <v>750</v>
      </c>
    </row>
    <row r="10" spans="2:11" x14ac:dyDescent="0.4">
      <c r="B10" s="25" t="s">
        <v>111</v>
      </c>
      <c r="C10" s="26"/>
      <c r="D10" s="26"/>
      <c r="E10" s="26"/>
      <c r="F10" s="10">
        <f>SUM(F5:F9)</f>
        <v>0</v>
      </c>
      <c r="G10" s="26"/>
      <c r="H10" s="10">
        <f>SUM(H5:H9)</f>
        <v>0</v>
      </c>
      <c r="I10" s="26"/>
      <c r="J10" s="10">
        <f>SUM(J5:J9)</f>
        <v>29250</v>
      </c>
      <c r="K10" s="10">
        <f>SUM(K5:K9)</f>
        <v>29250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K10"/>
  <sheetViews>
    <sheetView workbookViewId="0">
      <selection activeCell="G32" sqref="G32"/>
    </sheetView>
  </sheetViews>
  <sheetFormatPr defaultRowHeight="14.6" x14ac:dyDescent="0.4"/>
  <cols>
    <col min="1" max="1" width="11" customWidth="1"/>
    <col min="2" max="2" width="40" customWidth="1"/>
    <col min="3" max="4" width="11" customWidth="1"/>
    <col min="5" max="5" width="13" customWidth="1"/>
    <col min="6" max="6" width="14" customWidth="1"/>
    <col min="7" max="7" width="16" customWidth="1"/>
    <col min="8" max="8" width="17" customWidth="1"/>
    <col min="9" max="9" width="24" customWidth="1"/>
    <col min="10" max="10" width="20" customWidth="1"/>
    <col min="11" max="11" width="14" customWidth="1"/>
  </cols>
  <sheetData>
    <row r="2" spans="2:11" ht="20.149999999999999" x14ac:dyDescent="0.5">
      <c r="B2" s="1" t="s">
        <v>112</v>
      </c>
    </row>
    <row r="4" spans="2:11" x14ac:dyDescent="0.4">
      <c r="B4" s="4" t="s">
        <v>34</v>
      </c>
      <c r="C4" s="5" t="s">
        <v>35</v>
      </c>
      <c r="D4" s="17" t="s">
        <v>36</v>
      </c>
      <c r="E4" s="17" t="s">
        <v>37</v>
      </c>
      <c r="F4" s="17" t="s">
        <v>38</v>
      </c>
      <c r="G4" s="17" t="s">
        <v>39</v>
      </c>
      <c r="H4" s="17" t="s">
        <v>40</v>
      </c>
      <c r="I4" s="17" t="s">
        <v>41</v>
      </c>
      <c r="J4" s="17" t="s">
        <v>42</v>
      </c>
      <c r="K4" s="17" t="s">
        <v>43</v>
      </c>
    </row>
    <row r="5" spans="2:11" x14ac:dyDescent="0.4">
      <c r="B5" s="18" t="s">
        <v>113</v>
      </c>
      <c r="C5" s="19" t="s">
        <v>100</v>
      </c>
      <c r="D5" s="20">
        <v>1</v>
      </c>
      <c r="E5" s="7">
        <v>0</v>
      </c>
      <c r="F5" s="7">
        <f>D5*E5</f>
        <v>0</v>
      </c>
      <c r="G5" s="7">
        <v>0</v>
      </c>
      <c r="H5" s="7">
        <f>D5*G5</f>
        <v>0</v>
      </c>
      <c r="I5" s="7">
        <v>2800</v>
      </c>
      <c r="J5" s="7">
        <f>D5*I5</f>
        <v>2800</v>
      </c>
      <c r="K5" s="7">
        <f>F5+H5+J5</f>
        <v>2800</v>
      </c>
    </row>
    <row r="6" spans="2:11" x14ac:dyDescent="0.4">
      <c r="B6" s="21" t="s">
        <v>114</v>
      </c>
      <c r="C6" s="22" t="s">
        <v>45</v>
      </c>
      <c r="D6" s="24">
        <v>3200</v>
      </c>
      <c r="E6" s="8">
        <v>0</v>
      </c>
      <c r="F6" s="8">
        <f>D6*E6</f>
        <v>0</v>
      </c>
      <c r="G6" s="8">
        <v>0</v>
      </c>
      <c r="H6" s="8">
        <f>D6*G6</f>
        <v>0</v>
      </c>
      <c r="I6" s="8">
        <v>4.25</v>
      </c>
      <c r="J6" s="8">
        <f>D6*I6</f>
        <v>13600</v>
      </c>
      <c r="K6" s="8">
        <f>F6+H6+J6</f>
        <v>13600</v>
      </c>
    </row>
    <row r="7" spans="2:11" x14ac:dyDescent="0.4">
      <c r="B7" s="18" t="s">
        <v>115</v>
      </c>
      <c r="C7" s="19" t="s">
        <v>60</v>
      </c>
      <c r="D7" s="20">
        <v>45</v>
      </c>
      <c r="E7" s="7">
        <v>0</v>
      </c>
      <c r="F7" s="7">
        <f>D7*E7</f>
        <v>0</v>
      </c>
      <c r="G7" s="7">
        <v>0</v>
      </c>
      <c r="H7" s="7">
        <f>D7*G7</f>
        <v>0</v>
      </c>
      <c r="I7" s="7">
        <v>85</v>
      </c>
      <c r="J7" s="7">
        <f>D7*I7</f>
        <v>3825</v>
      </c>
      <c r="K7" s="7">
        <f>F7+H7+J7</f>
        <v>3825</v>
      </c>
    </row>
    <row r="8" spans="2:11" x14ac:dyDescent="0.4">
      <c r="B8" s="21" t="s">
        <v>116</v>
      </c>
      <c r="C8" s="22" t="s">
        <v>100</v>
      </c>
      <c r="D8" s="24">
        <v>1</v>
      </c>
      <c r="E8" s="8">
        <v>0</v>
      </c>
      <c r="F8" s="8">
        <f>D8*E8</f>
        <v>0</v>
      </c>
      <c r="G8" s="8">
        <v>0</v>
      </c>
      <c r="H8" s="8">
        <f>D8*G8</f>
        <v>0</v>
      </c>
      <c r="I8" s="8">
        <v>1200</v>
      </c>
      <c r="J8" s="8">
        <f>D8*I8</f>
        <v>1200</v>
      </c>
      <c r="K8" s="8">
        <f>F8+H8+J8</f>
        <v>1200</v>
      </c>
    </row>
    <row r="9" spans="2:11" x14ac:dyDescent="0.4">
      <c r="B9" s="18" t="s">
        <v>117</v>
      </c>
      <c r="C9" s="19" t="s">
        <v>118</v>
      </c>
      <c r="D9" s="20">
        <v>12</v>
      </c>
      <c r="E9" s="7">
        <v>0</v>
      </c>
      <c r="F9" s="7">
        <f>D9*E9</f>
        <v>0</v>
      </c>
      <c r="G9" s="7">
        <v>0</v>
      </c>
      <c r="H9" s="7">
        <f>D9*G9</f>
        <v>0</v>
      </c>
      <c r="I9" s="7">
        <v>95</v>
      </c>
      <c r="J9" s="7">
        <f>D9*I9</f>
        <v>1140</v>
      </c>
      <c r="K9" s="7">
        <f>F9+H9+J9</f>
        <v>1140</v>
      </c>
    </row>
    <row r="10" spans="2:11" x14ac:dyDescent="0.4">
      <c r="B10" s="25" t="s">
        <v>119</v>
      </c>
      <c r="C10" s="26"/>
      <c r="D10" s="26"/>
      <c r="E10" s="26"/>
      <c r="F10" s="10">
        <f>SUM(F5:F9)</f>
        <v>0</v>
      </c>
      <c r="G10" s="26"/>
      <c r="H10" s="10">
        <f>SUM(H5:H9)</f>
        <v>0</v>
      </c>
      <c r="I10" s="26"/>
      <c r="J10" s="10">
        <f>SUM(J5:J9)</f>
        <v>22565</v>
      </c>
      <c r="K10" s="10">
        <f>SUM(K5:K9)</f>
        <v>22565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Project Summary</vt:lpstr>
      <vt:lpstr>Demolition &amp; Site Work</vt:lpstr>
      <vt:lpstr>Concrete &amp; Masonry</vt:lpstr>
      <vt:lpstr>Framing &amp; Structural</vt:lpstr>
      <vt:lpstr>Roofing &amp; Siding</vt:lpstr>
      <vt:lpstr>Doors &amp; Windows</vt:lpstr>
      <vt:lpstr>Drywall &amp; Finishes</vt:lpstr>
      <vt:lpstr>Plumbing System</vt:lpstr>
      <vt:lpstr>HVAC System</vt:lpstr>
      <vt:lpstr>Electrical System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Roger Orozco</cp:lastModifiedBy>
  <dcterms:created xsi:type="dcterms:W3CDTF">2026-09-18T18:38:28Z</dcterms:created>
  <dcterms:modified xsi:type="dcterms:W3CDTF">2026-09-18T18:40:37Z</dcterms:modified>
</cp:coreProperties>
</file>